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ical" sheetId="1" state="visible" r:id="rId1"/>
    <sheet xmlns:r="http://schemas.openxmlformats.org/officeDocument/2006/relationships" name="Fixed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Export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R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"/>
    <numFmt numFmtId="166" formatCode="$#,##0.0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0" fontId="4" fillId="3" borderId="0" applyAlignment="1" pivotButton="0" quotePrefix="0" xfId="0">
      <alignment vertical="center" wrapText="1"/>
    </xf>
    <xf numFmtId="164" fontId="3" fillId="0" borderId="0" pivotButton="0" quotePrefix="0" xfId="0"/>
    <xf numFmtId="4" fontId="3" fillId="0" borderId="0" pivotButton="0" quotePrefix="0" xfId="0"/>
    <xf numFmtId="165" fontId="3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Corvane Q4 FY2026 AE payouts, typical spreadsheet</t>
        </is>
      </c>
    </row>
    <row r="2">
      <c r="A2" s="2" t="inlineStr">
        <is>
          <t>Credit = Closed Won in the quarter, by owner, split by split_pct. Tiered rate, capped at 3x target.</t>
        </is>
      </c>
    </row>
    <row r="4" ht="30" customHeight="1">
      <c r="A4" s="3" t="inlineStr">
        <is>
          <t>Rep</t>
        </is>
      </c>
      <c r="B4" s="3" t="inlineStr">
        <is>
          <t>Quota</t>
        </is>
      </c>
      <c r="C4" s="3" t="inlineStr">
        <is>
          <t>Target incentive</t>
        </is>
      </c>
      <c r="D4" s="3" t="inlineStr">
        <is>
          <t>Credited bookings</t>
        </is>
      </c>
      <c r="E4" s="3" t="inlineStr">
        <is>
          <t>Attainment</t>
        </is>
      </c>
      <c r="F4" s="3" t="inlineStr">
        <is>
          <t>Commission</t>
        </is>
      </c>
      <c r="G4" s="3" t="inlineStr">
        <is>
          <t>Payout</t>
        </is>
      </c>
    </row>
    <row r="5">
      <c r="A5" s="4" t="inlineStr">
        <is>
          <t>Priya Shah</t>
        </is>
      </c>
      <c r="B5" s="5">
        <f>Inputs!$B$3</f>
        <v/>
      </c>
      <c r="C5" s="5">
        <f>Inputs!$B$4</f>
        <v/>
      </c>
      <c r="D5" s="5">
        <f>SUMIFS(Export!$O$2:$O$96,Export!$C$2:$C$96,A5)+SUMIFS(Export!$P$2:$P$96,Export!$L$2:$L$96,A5)</f>
        <v/>
      </c>
      <c r="E5" s="6">
        <f>D5/B5</f>
        <v/>
      </c>
      <c r="F5" s="5">
        <f>MIN(3*C5,C5/B5*(MIN(D5,B5)+1.5*MAX(0,MIN(D5,1.25*B5)-B5)+2*MAX(0,D5-1.25*B5)))</f>
        <v/>
      </c>
      <c r="G5" s="5">
        <f>F5</f>
        <v/>
      </c>
    </row>
    <row r="6">
      <c r="A6" s="4" t="inlineStr">
        <is>
          <t>Tyler Brooks</t>
        </is>
      </c>
      <c r="B6" s="5">
        <f>Inputs!$B$3</f>
        <v/>
      </c>
      <c r="C6" s="5">
        <f>Inputs!$B$4</f>
        <v/>
      </c>
      <c r="D6" s="5">
        <f>SUMIFS(Export!$O$2:$O$96,Export!$C$2:$C$96,A6)+SUMIFS(Export!$P$2:$P$96,Export!$L$2:$L$96,A6)</f>
        <v/>
      </c>
      <c r="E6" s="6">
        <f>D6/B6</f>
        <v/>
      </c>
      <c r="F6" s="5">
        <f>MIN(3*C6,C6/B6*(MIN(D6,B6)+1.5*MAX(0,MIN(D6,1.25*B6)-B6)+2*MAX(0,D6-1.25*B6)))</f>
        <v/>
      </c>
      <c r="G6" s="5">
        <f>F6</f>
        <v/>
      </c>
    </row>
    <row r="7">
      <c r="A7" s="4" t="inlineStr">
        <is>
          <t>Sarah Chen</t>
        </is>
      </c>
      <c r="B7" s="5">
        <f>Inputs!$B$3</f>
        <v/>
      </c>
      <c r="C7" s="5">
        <f>Inputs!$B$4</f>
        <v/>
      </c>
      <c r="D7" s="5">
        <f>SUMIFS(Export!$O$2:$O$96,Export!$C$2:$C$96,A7)+SUMIFS(Export!$P$2:$P$96,Export!$L$2:$L$96,A7)</f>
        <v/>
      </c>
      <c r="E7" s="6">
        <f>D7/B7</f>
        <v/>
      </c>
      <c r="F7" s="5">
        <f>MIN(3*C7,C7/B7*(MIN(D7,B7)+1.5*MAX(0,MIN(D7,1.25*B7)-B7)+2*MAX(0,D7-1.25*B7)))</f>
        <v/>
      </c>
      <c r="G7" s="5">
        <f>F7</f>
        <v/>
      </c>
    </row>
    <row r="8">
      <c r="A8" s="4" t="inlineStr">
        <is>
          <t>Marcus Reed</t>
        </is>
      </c>
      <c r="B8" s="5">
        <f>Inputs!$B$3</f>
        <v/>
      </c>
      <c r="C8" s="5">
        <f>Inputs!$B$4</f>
        <v/>
      </c>
      <c r="D8" s="5">
        <f>SUMIFS(Export!$O$2:$O$96,Export!$C$2:$C$96,A8)+SUMIFS(Export!$P$2:$P$96,Export!$L$2:$L$96,A8)</f>
        <v/>
      </c>
      <c r="E8" s="6">
        <f>D8/B8</f>
        <v/>
      </c>
      <c r="F8" s="5">
        <f>MIN(3*C8,C8/B8*(MIN(D8,B8)+1.5*MAX(0,MIN(D8,1.25*B8)-B8)+2*MAX(0,D8-1.25*B8)))</f>
        <v/>
      </c>
      <c r="G8" s="5">
        <f>F8</f>
        <v/>
      </c>
    </row>
    <row r="9">
      <c r="A9" s="4" t="inlineStr">
        <is>
          <t>Dan Ortiz</t>
        </is>
      </c>
      <c r="B9" s="5">
        <f>Inputs!$B$3</f>
        <v/>
      </c>
      <c r="C9" s="5">
        <f>Inputs!$B$4</f>
        <v/>
      </c>
      <c r="D9" s="5">
        <f>SUMIFS(Export!$O$2:$O$96,Export!$C$2:$C$96,A9)+SUMIFS(Export!$P$2:$P$96,Export!$L$2:$L$96,A9)</f>
        <v/>
      </c>
      <c r="E9" s="6">
        <f>D9/B9</f>
        <v/>
      </c>
      <c r="F9" s="5">
        <f>MIN(3*C9,C9/B9*(MIN(D9,B9)+1.5*MAX(0,MIN(D9,1.25*B9)-B9)+2*MAX(0,D9-1.25*B9)))</f>
        <v/>
      </c>
      <c r="G9" s="5">
        <f>F9</f>
        <v/>
      </c>
    </row>
    <row r="10">
      <c r="A10" s="4" t="inlineStr">
        <is>
          <t>Ana Lima</t>
        </is>
      </c>
      <c r="B10" s="5">
        <f>Inputs!$B$3</f>
        <v/>
      </c>
      <c r="C10" s="5">
        <f>Inputs!$B$4</f>
        <v/>
      </c>
      <c r="D10" s="5">
        <f>SUMIFS(Export!$O$2:$O$96,Export!$C$2:$C$96,A10)+SUMIFS(Export!$P$2:$P$96,Export!$L$2:$L$96,A10)</f>
        <v/>
      </c>
      <c r="E10" s="6">
        <f>D10/B10</f>
        <v/>
      </c>
      <c r="F10" s="5">
        <f>MIN(3*C10,C10/B10*(MIN(D10,B10)+1.5*MAX(0,MIN(D10,1.25*B10)-B10)+2*MAX(0,D10-1.25*B10)))</f>
        <v/>
      </c>
      <c r="G10" s="5">
        <f>F10</f>
        <v/>
      </c>
    </row>
    <row r="11">
      <c r="A11" s="7" t="inlineStr">
        <is>
          <t>Total</t>
        </is>
      </c>
      <c r="G11" s="8">
        <f>SUM(G5:G10)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Corvane Q4 FY2026 AE payouts, fixed spreadsheet</t>
        </is>
      </c>
    </row>
    <row r="2">
      <c r="A2" s="2" t="inlineStr">
        <is>
          <t>Same as Typical, plus every rule from the plan PDF, Tom's email and the Slack SPIFF (orange helper columns on Export and Reps).</t>
        </is>
      </c>
    </row>
    <row r="4" ht="30" customHeight="1">
      <c r="A4" s="3" t="inlineStr">
        <is>
          <t>Rep</t>
        </is>
      </c>
      <c r="B4" s="3" t="inlineStr">
        <is>
          <t>Quota</t>
        </is>
      </c>
      <c r="C4" s="3" t="inlineStr">
        <is>
          <t>Target incentive</t>
        </is>
      </c>
      <c r="D4" s="3" t="inlineStr">
        <is>
          <t>Credited bookings</t>
        </is>
      </c>
      <c r="E4" s="3" t="inlineStr">
        <is>
          <t>Attainment</t>
        </is>
      </c>
      <c r="F4" s="3" t="inlineStr">
        <is>
          <t>Commission</t>
        </is>
      </c>
      <c r="G4" s="3" t="inlineStr">
        <is>
          <t>SPIFF</t>
        </is>
      </c>
      <c r="H4" s="3" t="inlineStr">
        <is>
          <t>Employed on Jan 15?</t>
        </is>
      </c>
      <c r="I4" s="3" t="inlineStr">
        <is>
          <t>Payout</t>
        </is>
      </c>
    </row>
    <row r="5">
      <c r="A5" s="4" t="inlineStr">
        <is>
          <t>Priya Shah</t>
        </is>
      </c>
      <c r="B5" s="5">
        <f>Reps!E2</f>
        <v/>
      </c>
      <c r="C5" s="5">
        <f>Reps!F2</f>
        <v/>
      </c>
      <c r="D5" s="5">
        <f>SUMIFS(Export!$Z$2:$Z$96,Export!$C$2:$C$96,A5)+SUMIFS(Export!$AA$2:$AA$96,Export!$L$2:$L$96,A5)</f>
        <v/>
      </c>
      <c r="E5" s="6">
        <f>D5/B5</f>
        <v/>
      </c>
      <c r="F5" s="5">
        <f>MIN(3*C5,C5/B5*(MIN(D5,B5)+1.5*MAX(0,MIN(D5,1.25*B5)-B5)+2*MAX(0,D5-1.25*B5)))</f>
        <v/>
      </c>
      <c r="G5" s="5">
        <f>SUMIFS(Export!$AB$2:$AB$96,Export!$C$2:$C$96,A5)</f>
        <v/>
      </c>
      <c r="H5" s="4">
        <f>Reps!G2</f>
        <v/>
      </c>
      <c r="I5" s="5">
        <f>IF(H5,F5+G5,0)</f>
        <v/>
      </c>
    </row>
    <row r="6">
      <c r="A6" s="4" t="inlineStr">
        <is>
          <t>Tyler Brooks</t>
        </is>
      </c>
      <c r="B6" s="5">
        <f>Reps!E3</f>
        <v/>
      </c>
      <c r="C6" s="5">
        <f>Reps!F3</f>
        <v/>
      </c>
      <c r="D6" s="5">
        <f>SUMIFS(Export!$Z$2:$Z$96,Export!$C$2:$C$96,A6)+SUMIFS(Export!$AA$2:$AA$96,Export!$L$2:$L$96,A6)</f>
        <v/>
      </c>
      <c r="E6" s="6">
        <f>D6/B6</f>
        <v/>
      </c>
      <c r="F6" s="5">
        <f>MIN(3*C6,C6/B6*(MIN(D6,B6)+1.5*MAX(0,MIN(D6,1.25*B6)-B6)+2*MAX(0,D6-1.25*B6)))</f>
        <v/>
      </c>
      <c r="G6" s="5">
        <f>SUMIFS(Export!$AB$2:$AB$96,Export!$C$2:$C$96,A6)</f>
        <v/>
      </c>
      <c r="H6" s="4">
        <f>Reps!G3</f>
        <v/>
      </c>
      <c r="I6" s="5">
        <f>IF(H6,F6+G6,0)</f>
        <v/>
      </c>
    </row>
    <row r="7">
      <c r="A7" s="4" t="inlineStr">
        <is>
          <t>Sarah Chen</t>
        </is>
      </c>
      <c r="B7" s="5">
        <f>Reps!E4</f>
        <v/>
      </c>
      <c r="C7" s="5">
        <f>Reps!F4</f>
        <v/>
      </c>
      <c r="D7" s="5">
        <f>SUMIFS(Export!$Z$2:$Z$96,Export!$C$2:$C$96,A7)+SUMIFS(Export!$AA$2:$AA$96,Export!$L$2:$L$96,A7)</f>
        <v/>
      </c>
      <c r="E7" s="6">
        <f>D7/B7</f>
        <v/>
      </c>
      <c r="F7" s="5">
        <f>MIN(3*C7,C7/B7*(MIN(D7,B7)+1.5*MAX(0,MIN(D7,1.25*B7)-B7)+2*MAX(0,D7-1.25*B7)))</f>
        <v/>
      </c>
      <c r="G7" s="5">
        <f>SUMIFS(Export!$AB$2:$AB$96,Export!$C$2:$C$96,A7)</f>
        <v/>
      </c>
      <c r="H7" s="4">
        <f>Reps!G4</f>
        <v/>
      </c>
      <c r="I7" s="5">
        <f>IF(H7,F7+G7,0)</f>
        <v/>
      </c>
    </row>
    <row r="8">
      <c r="A8" s="4" t="inlineStr">
        <is>
          <t>Marcus Reed</t>
        </is>
      </c>
      <c r="B8" s="5">
        <f>Reps!E5</f>
        <v/>
      </c>
      <c r="C8" s="5">
        <f>Reps!F5</f>
        <v/>
      </c>
      <c r="D8" s="5">
        <f>SUMIFS(Export!$Z$2:$Z$96,Export!$C$2:$C$96,A8)+SUMIFS(Export!$AA$2:$AA$96,Export!$L$2:$L$96,A8)</f>
        <v/>
      </c>
      <c r="E8" s="6">
        <f>D8/B8</f>
        <v/>
      </c>
      <c r="F8" s="5">
        <f>MIN(3*C8,C8/B8*(MIN(D8,B8)+1.5*MAX(0,MIN(D8,1.25*B8)-B8)+2*MAX(0,D8-1.25*B8)))</f>
        <v/>
      </c>
      <c r="G8" s="5">
        <f>SUMIFS(Export!$AB$2:$AB$96,Export!$C$2:$C$96,A8)</f>
        <v/>
      </c>
      <c r="H8" s="4">
        <f>Reps!G5</f>
        <v/>
      </c>
      <c r="I8" s="5">
        <f>IF(H8,F8+G8,0)</f>
        <v/>
      </c>
    </row>
    <row r="9">
      <c r="A9" s="4" t="inlineStr">
        <is>
          <t>Dan Ortiz</t>
        </is>
      </c>
      <c r="B9" s="5">
        <f>Reps!E6</f>
        <v/>
      </c>
      <c r="C9" s="5">
        <f>Reps!F6</f>
        <v/>
      </c>
      <c r="D9" s="5">
        <f>SUMIFS(Export!$Z$2:$Z$96,Export!$C$2:$C$96,A9)+SUMIFS(Export!$AA$2:$AA$96,Export!$L$2:$L$96,A9)</f>
        <v/>
      </c>
      <c r="E9" s="6">
        <f>D9/B9</f>
        <v/>
      </c>
      <c r="F9" s="5">
        <f>MIN(3*C9,C9/B9*(MIN(D9,B9)+1.5*MAX(0,MIN(D9,1.25*B9)-B9)+2*MAX(0,D9-1.25*B9)))</f>
        <v/>
      </c>
      <c r="G9" s="5">
        <f>SUMIFS(Export!$AB$2:$AB$96,Export!$C$2:$C$96,A9)</f>
        <v/>
      </c>
      <c r="H9" s="4">
        <f>Reps!G6</f>
        <v/>
      </c>
      <c r="I9" s="5">
        <f>IF(H9,F9+G9,0)</f>
        <v/>
      </c>
    </row>
    <row r="10">
      <c r="A10" s="4" t="inlineStr">
        <is>
          <t>Ana Lima</t>
        </is>
      </c>
      <c r="B10" s="5">
        <f>Reps!E7</f>
        <v/>
      </c>
      <c r="C10" s="5">
        <f>Reps!F7</f>
        <v/>
      </c>
      <c r="D10" s="5">
        <f>SUMIFS(Export!$Z$2:$Z$96,Export!$C$2:$C$96,A10)+SUMIFS(Export!$AA$2:$AA$96,Export!$L$2:$L$96,A10)</f>
        <v/>
      </c>
      <c r="E10" s="6">
        <f>D10/B10</f>
        <v/>
      </c>
      <c r="F10" s="5">
        <f>MIN(3*C10,C10/B10*(MIN(D10,B10)+1.5*MAX(0,MIN(D10,1.25*B10)-B10)+2*MAX(0,D10-1.25*B10)))</f>
        <v/>
      </c>
      <c r="G10" s="5">
        <f>SUMIFS(Export!$AB$2:$AB$96,Export!$C$2:$C$96,A10)</f>
        <v/>
      </c>
      <c r="H10" s="4">
        <f>Reps!G7</f>
        <v/>
      </c>
      <c r="I10" s="5">
        <f>IF(H10,F10+G10,0)</f>
        <v/>
      </c>
    </row>
    <row r="11">
      <c r="A11" s="7" t="inlineStr">
        <is>
          <t>Total</t>
        </is>
      </c>
      <c r="I11" s="8">
        <f>SUM(I5:I10)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</cols>
  <sheetData>
    <row r="1">
      <c r="A1" s="7" t="inlineStr">
        <is>
          <t>Quarter start</t>
        </is>
      </c>
      <c r="B1" s="9" t="n">
        <v>46296</v>
      </c>
      <c r="C1" s="4" t="inlineStr">
        <is>
          <t>Plan, Overview</t>
        </is>
      </c>
    </row>
    <row r="2">
      <c r="A2" s="7" t="inlineStr">
        <is>
          <t>Quarter end</t>
        </is>
      </c>
      <c r="B2" s="9" t="n">
        <v>46387</v>
      </c>
      <c r="C2" s="4" t="inlineStr">
        <is>
          <t>Plan, Overview</t>
        </is>
      </c>
    </row>
    <row r="3">
      <c r="A3" s="7" t="inlineStr">
        <is>
          <t>Quota</t>
        </is>
      </c>
      <c r="B3" s="10" t="n">
        <v>300000</v>
      </c>
      <c r="C3" s="4" t="inlineStr">
        <is>
          <t>Plan, Overview</t>
        </is>
      </c>
    </row>
    <row r="4">
      <c r="A4" s="7" t="inlineStr">
        <is>
          <t>Target incentive</t>
        </is>
      </c>
      <c r="B4" s="10" t="n">
        <v>20000</v>
      </c>
      <c r="C4" s="4" t="inlineStr">
        <is>
          <t>Plan, Overview</t>
        </is>
      </c>
    </row>
    <row r="5">
      <c r="A5" s="7" t="inlineStr">
        <is>
          <t>Payment date</t>
        </is>
      </c>
      <c r="B5" s="9" t="n">
        <v>46402</v>
      </c>
      <c r="C5" s="4" t="inlineStr">
        <is>
          <t>Plan, General Terms</t>
        </is>
      </c>
    </row>
    <row r="6">
      <c r="A6" s="7" t="inlineStr">
        <is>
          <t>Renewal credit</t>
        </is>
      </c>
      <c r="B6" s="11" t="n">
        <v>0.5</v>
      </c>
      <c r="C6" s="4" t="inlineStr">
        <is>
          <t>Tom's email, Nov 3</t>
        </is>
      </c>
    </row>
    <row r="7">
      <c r="A7" s="7" t="inlineStr">
        <is>
          <t>SPIFF per new logo</t>
        </is>
      </c>
      <c r="B7" s="10" t="n">
        <v>500</v>
      </c>
      <c r="C7" s="4" t="inlineStr">
        <is>
          <t>Slack #sales, Nov 2</t>
        </is>
      </c>
    </row>
    <row r="8">
      <c r="A8" s="7" t="inlineStr">
        <is>
          <t>SPIFF minimum</t>
        </is>
      </c>
      <c r="B8" s="10" t="n">
        <v>50000</v>
      </c>
      <c r="C8" s="4" t="inlineStr">
        <is>
          <t>Slack #sales, Nov 2</t>
        </is>
      </c>
    </row>
    <row r="9">
      <c r="A9" s="7" t="inlineStr">
        <is>
          <t>Max discount without VP</t>
        </is>
      </c>
      <c r="B9" s="10" t="n">
        <v>20</v>
      </c>
      <c r="C9" s="4" t="inlineStr">
        <is>
          <t>Plan, Deal Desk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3" t="inlineStr">
        <is>
          <t>opportunity_id</t>
        </is>
      </c>
      <c r="B1" s="3" t="inlineStr">
        <is>
          <t>account</t>
        </is>
      </c>
      <c r="C1" s="3" t="inlineStr">
        <is>
          <t>owner</t>
        </is>
      </c>
      <c r="D1" s="3" t="inlineStr">
        <is>
          <t>stage</t>
        </is>
      </c>
      <c r="E1" s="3" t="inlineStr">
        <is>
          <t>type</t>
        </is>
      </c>
      <c r="F1" s="3" t="inlineStr">
        <is>
          <t>close_date</t>
        </is>
      </c>
      <c r="G1" s="3" t="inlineStr">
        <is>
          <t>amount</t>
        </is>
      </c>
      <c r="H1" s="3" t="inlineStr">
        <is>
          <t>currency</t>
        </is>
      </c>
      <c r="I1" s="3" t="inlineStr">
        <is>
          <t>discount_pct</t>
        </is>
      </c>
      <c r="J1" s="3" t="inlineStr">
        <is>
          <t>vp_approval</t>
        </is>
      </c>
      <c r="K1" s="3" t="inlineStr">
        <is>
          <t>new_logo</t>
        </is>
      </c>
      <c r="L1" s="3" t="inlineStr">
        <is>
          <t>split_rep</t>
        </is>
      </c>
      <c r="M1" s="3" t="inlineStr">
        <is>
          <t>split_pct</t>
        </is>
      </c>
      <c r="N1" s="3" t="inlineStr">
        <is>
          <t>owner_pct</t>
        </is>
      </c>
      <c r="O1" s="3" t="inlineStr">
        <is>
          <t>Typical: owner credit</t>
        </is>
      </c>
      <c r="P1" s="3" t="inlineStr">
        <is>
          <t>Typical: split credit</t>
        </is>
      </c>
      <c r="Q1" s="12" t="inlineStr">
        <is>
          <t>FX week</t>
        </is>
      </c>
      <c r="R1" s="12" t="inlineStr">
        <is>
          <t>USD rate</t>
        </is>
      </c>
      <c r="S1" s="12" t="inlineStr">
        <is>
          <t>First copy?</t>
        </is>
      </c>
      <c r="T1" s="12" t="inlineStr">
        <is>
          <t>Renewal factor</t>
        </is>
      </c>
      <c r="U1" s="12" t="inlineStr">
        <is>
          <t>Deal desk OK?</t>
        </is>
      </c>
      <c r="V1" s="12" t="inlineStr">
        <is>
          <t>Owner %</t>
        </is>
      </c>
      <c r="W1" s="12" t="inlineStr">
        <is>
          <t>Split adds to 100%?</t>
        </is>
      </c>
      <c r="X1" s="12" t="inlineStr">
        <is>
          <t>Commissionable?</t>
        </is>
      </c>
      <c r="Y1" s="12" t="inlineStr">
        <is>
          <t>Credit (USD)</t>
        </is>
      </c>
      <c r="Z1" s="12" t="inlineStr">
        <is>
          <t>Fixed: owner credit</t>
        </is>
      </c>
      <c r="AA1" s="12" t="inlineStr">
        <is>
          <t>Fixed: split credit</t>
        </is>
      </c>
      <c r="AB1" s="12" t="inlineStr">
        <is>
          <t>SPIFF</t>
        </is>
      </c>
    </row>
    <row r="2">
      <c r="A2" s="4" t="inlineStr">
        <is>
          <t>OPP-2065</t>
        </is>
      </c>
      <c r="B2" s="4" t="inlineStr">
        <is>
          <t>Ivers Logistics</t>
        </is>
      </c>
      <c r="C2" s="4" t="inlineStr">
        <is>
          <t>Dan Ortiz</t>
        </is>
      </c>
      <c r="D2" s="4" t="inlineStr">
        <is>
          <t>Closed Won</t>
        </is>
      </c>
      <c r="E2" s="4" t="inlineStr">
        <is>
          <t>New Business</t>
        </is>
      </c>
      <c r="F2" s="13" t="n">
        <v>46317</v>
      </c>
      <c r="G2" s="4" t="n">
        <v>30000</v>
      </c>
      <c r="H2" s="4" t="inlineStr">
        <is>
          <t>USD</t>
        </is>
      </c>
      <c r="I2" s="4" t="n">
        <v>0</v>
      </c>
      <c r="J2" s="4" t="n"/>
      <c r="K2" s="4" t="inlineStr">
        <is>
          <t>No</t>
        </is>
      </c>
      <c r="L2" s="4" t="n"/>
      <c r="M2" s="4" t="n"/>
      <c r="N2" s="4" t="n"/>
      <c r="O2" s="14">
        <f>IF(AND(D2="Closed Won",F2&gt;=Inputs!$B$1,F2&lt;=Inputs!$B$2),G2*(1-N(M2)/100),0)</f>
        <v/>
      </c>
      <c r="P2" s="14">
        <f>IF(AND(D2="Closed Won",F2&gt;=Inputs!$B$1,F2&lt;=Inputs!$B$2),G2*N(M2)/100,0)</f>
        <v/>
      </c>
      <c r="Q2" s="13">
        <f>IF(H2="USD","",_xlfn.MAXIFS(FX!$A$2:$A$100,FX!$B$2:$B$100,H2,FX!$A$2:$A$100,"&lt;="&amp;F2))</f>
        <v/>
      </c>
      <c r="R2" s="15">
        <f>IF(H2="USD",1,SUMIFS(FX!$C$2:$C$100,FX!$A$2:$A$100,Q2,FX!$B$2:$B$100,H2))</f>
        <v/>
      </c>
      <c r="S2" s="14">
        <f>COUNTIF($A$2:A2,A2)=1</f>
        <v/>
      </c>
      <c r="T2" s="14">
        <f>IF(E2="Renewal",Inputs!$B$6,1)</f>
        <v/>
      </c>
      <c r="U2" s="14">
        <f>OR(N(I2)&lt;=Inputs!$B$9,J2&lt;&gt;"")</f>
        <v/>
      </c>
      <c r="V2" s="14">
        <f>IF(L2="",100,IF(N2="",100-M2,N2))</f>
        <v/>
      </c>
      <c r="W2" s="14">
        <f>V2+N(M2)=100</f>
        <v/>
      </c>
      <c r="X2" s="14">
        <f>AND(D2="Closed Won",F2&gt;=Inputs!$B$1,F2&lt;=Inputs!$B$2,S2,U2,W2)</f>
        <v/>
      </c>
      <c r="Y2" s="14">
        <f>IF(X2,G2*R2*T2,0)</f>
        <v/>
      </c>
      <c r="Z2" s="14">
        <f>Y2*V2/100</f>
        <v/>
      </c>
      <c r="AA2" s="14">
        <f>Y2*N(M2)/100</f>
        <v/>
      </c>
      <c r="AB2" s="14">
        <f>IF(AND(X2,K2="Yes",MONTH(F2)=11,Y2&gt;Inputs!$B$8),Inputs!$B$7,0)</f>
        <v/>
      </c>
    </row>
    <row r="3">
      <c r="A3" s="4" t="inlineStr">
        <is>
          <t>OPP-2084</t>
        </is>
      </c>
      <c r="B3" s="4" t="inlineStr">
        <is>
          <t>Fairlow Supply</t>
        </is>
      </c>
      <c r="C3" s="4" t="inlineStr">
        <is>
          <t>Priya Shah</t>
        </is>
      </c>
      <c r="D3" s="4" t="inlineStr">
        <is>
          <t>Closed Lost</t>
        </is>
      </c>
      <c r="E3" s="4" t="inlineStr">
        <is>
          <t>New Business</t>
        </is>
      </c>
      <c r="F3" s="13" t="n">
        <v>46307</v>
      </c>
      <c r="G3" s="4" t="n">
        <v>53000</v>
      </c>
      <c r="H3" s="4" t="inlineStr">
        <is>
          <t>USD</t>
        </is>
      </c>
      <c r="I3" s="4" t="n">
        <v>0</v>
      </c>
      <c r="J3" s="4" t="n"/>
      <c r="K3" s="4" t="inlineStr">
        <is>
          <t>No</t>
        </is>
      </c>
      <c r="L3" s="4" t="n"/>
      <c r="M3" s="4" t="n"/>
      <c r="N3" s="4" t="n"/>
      <c r="O3" s="14">
        <f>IF(AND(D3="Closed Won",F3&gt;=Inputs!$B$1,F3&lt;=Inputs!$B$2),G3*(1-N(M3)/100),0)</f>
        <v/>
      </c>
      <c r="P3" s="14">
        <f>IF(AND(D3="Closed Won",F3&gt;=Inputs!$B$1,F3&lt;=Inputs!$B$2),G3*N(M3)/100,0)</f>
        <v/>
      </c>
      <c r="Q3" s="13">
        <f>IF(H3="USD","",_xlfn.MAXIFS(FX!$A$2:$A$100,FX!$B$2:$B$100,H3,FX!$A$2:$A$100,"&lt;="&amp;F3))</f>
        <v/>
      </c>
      <c r="R3" s="15">
        <f>IF(H3="USD",1,SUMIFS(FX!$C$2:$C$100,FX!$A$2:$A$100,Q3,FX!$B$2:$B$100,H3))</f>
        <v/>
      </c>
      <c r="S3" s="14">
        <f>COUNTIF($A$2:A3,A3)=1</f>
        <v/>
      </c>
      <c r="T3" s="14">
        <f>IF(E3="Renewal",Inputs!$B$6,1)</f>
        <v/>
      </c>
      <c r="U3" s="14">
        <f>OR(N(I3)&lt;=Inputs!$B$9,J3&lt;&gt;"")</f>
        <v/>
      </c>
      <c r="V3" s="14">
        <f>IF(L3="",100,IF(N3="",100-M3,N3))</f>
        <v/>
      </c>
      <c r="W3" s="14">
        <f>V3+N(M3)=100</f>
        <v/>
      </c>
      <c r="X3" s="14">
        <f>AND(D3="Closed Won",F3&gt;=Inputs!$B$1,F3&lt;=Inputs!$B$2,S3,U3,W3)</f>
        <v/>
      </c>
      <c r="Y3" s="14">
        <f>IF(X3,G3*R3*T3,0)</f>
        <v/>
      </c>
      <c r="Z3" s="14">
        <f>Y3*V3/100</f>
        <v/>
      </c>
      <c r="AA3" s="14">
        <f>Y3*N(M3)/100</f>
        <v/>
      </c>
      <c r="AB3" s="14">
        <f>IF(AND(X3,K3="Yes",MONTH(F3)=11,Y3&gt;Inputs!$B$8),Inputs!$B$7,0)</f>
        <v/>
      </c>
    </row>
    <row r="4">
      <c r="A4" s="4" t="inlineStr">
        <is>
          <t>OPP-2075</t>
        </is>
      </c>
      <c r="B4" s="4" t="inlineStr">
        <is>
          <t>Northgate Analytics</t>
        </is>
      </c>
      <c r="C4" s="4" t="inlineStr">
        <is>
          <t>Ana Lima</t>
        </is>
      </c>
      <c r="D4" s="4" t="inlineStr">
        <is>
          <t>Closed Won</t>
        </is>
      </c>
      <c r="E4" s="4" t="inlineStr">
        <is>
          <t>Expansion</t>
        </is>
      </c>
      <c r="F4" s="13" t="n">
        <v>46363</v>
      </c>
      <c r="G4" s="4" t="n">
        <v>17000</v>
      </c>
      <c r="H4" s="4" t="inlineStr">
        <is>
          <t>USD</t>
        </is>
      </c>
      <c r="I4" s="4" t="n">
        <v>10</v>
      </c>
      <c r="J4" s="4" t="n"/>
      <c r="K4" s="4" t="inlineStr">
        <is>
          <t>No</t>
        </is>
      </c>
      <c r="L4" s="4" t="n"/>
      <c r="M4" s="4" t="n"/>
      <c r="N4" s="4" t="n"/>
      <c r="O4" s="14">
        <f>IF(AND(D4="Closed Won",F4&gt;=Inputs!$B$1,F4&lt;=Inputs!$B$2),G4*(1-N(M4)/100),0)</f>
        <v/>
      </c>
      <c r="P4" s="14">
        <f>IF(AND(D4="Closed Won",F4&gt;=Inputs!$B$1,F4&lt;=Inputs!$B$2),G4*N(M4)/100,0)</f>
        <v/>
      </c>
      <c r="Q4" s="13">
        <f>IF(H4="USD","",_xlfn.MAXIFS(FX!$A$2:$A$100,FX!$B$2:$B$100,H4,FX!$A$2:$A$100,"&lt;="&amp;F4))</f>
        <v/>
      </c>
      <c r="R4" s="15">
        <f>IF(H4="USD",1,SUMIFS(FX!$C$2:$C$100,FX!$A$2:$A$100,Q4,FX!$B$2:$B$100,H4))</f>
        <v/>
      </c>
      <c r="S4" s="14">
        <f>COUNTIF($A$2:A4,A4)=1</f>
        <v/>
      </c>
      <c r="T4" s="14">
        <f>IF(E4="Renewal",Inputs!$B$6,1)</f>
        <v/>
      </c>
      <c r="U4" s="14">
        <f>OR(N(I4)&lt;=Inputs!$B$9,J4&lt;&gt;"")</f>
        <v/>
      </c>
      <c r="V4" s="14">
        <f>IF(L4="",100,IF(N4="",100-M4,N4))</f>
        <v/>
      </c>
      <c r="W4" s="14">
        <f>V4+N(M4)=100</f>
        <v/>
      </c>
      <c r="X4" s="14">
        <f>AND(D4="Closed Won",F4&gt;=Inputs!$B$1,F4&lt;=Inputs!$B$2,S4,U4,W4)</f>
        <v/>
      </c>
      <c r="Y4" s="14">
        <f>IF(X4,G4*R4*T4,0)</f>
        <v/>
      </c>
      <c r="Z4" s="14">
        <f>Y4*V4/100</f>
        <v/>
      </c>
      <c r="AA4" s="14">
        <f>Y4*N(M4)/100</f>
        <v/>
      </c>
      <c r="AB4" s="14">
        <f>IF(AND(X4,K4="Yes",MONTH(F4)=11,Y4&gt;Inputs!$B$8),Inputs!$B$7,0)</f>
        <v/>
      </c>
    </row>
    <row r="5">
      <c r="A5" s="4" t="inlineStr">
        <is>
          <t>OPP-2012</t>
        </is>
      </c>
      <c r="B5" s="4" t="inlineStr">
        <is>
          <t>Tamber Foods</t>
        </is>
      </c>
      <c r="C5" s="4" t="inlineStr">
        <is>
          <t>Priya Shah</t>
        </is>
      </c>
      <c r="D5" s="4" t="inlineStr">
        <is>
          <t>Closed Won</t>
        </is>
      </c>
      <c r="E5" s="4" t="inlineStr">
        <is>
          <t>New Business</t>
        </is>
      </c>
      <c r="F5" s="13" t="n">
        <v>46344</v>
      </c>
      <c r="G5" s="4" t="n">
        <v>55000</v>
      </c>
      <c r="H5" s="4" t="inlineStr">
        <is>
          <t>USD</t>
        </is>
      </c>
      <c r="I5" s="4" t="n">
        <v>0</v>
      </c>
      <c r="J5" s="4" t="n"/>
      <c r="K5" s="4" t="inlineStr">
        <is>
          <t>Yes</t>
        </is>
      </c>
      <c r="L5" s="4" t="n"/>
      <c r="M5" s="4" t="n"/>
      <c r="N5" s="4" t="n"/>
      <c r="O5" s="14">
        <f>IF(AND(D5="Closed Won",F5&gt;=Inputs!$B$1,F5&lt;=Inputs!$B$2),G5*(1-N(M5)/100),0)</f>
        <v/>
      </c>
      <c r="P5" s="14">
        <f>IF(AND(D5="Closed Won",F5&gt;=Inputs!$B$1,F5&lt;=Inputs!$B$2),G5*N(M5)/100,0)</f>
        <v/>
      </c>
      <c r="Q5" s="13">
        <f>IF(H5="USD","",_xlfn.MAXIFS(FX!$A$2:$A$100,FX!$B$2:$B$100,H5,FX!$A$2:$A$100,"&lt;="&amp;F5))</f>
        <v/>
      </c>
      <c r="R5" s="15">
        <f>IF(H5="USD",1,SUMIFS(FX!$C$2:$C$100,FX!$A$2:$A$100,Q5,FX!$B$2:$B$100,H5))</f>
        <v/>
      </c>
      <c r="S5" s="14">
        <f>COUNTIF($A$2:A5,A5)=1</f>
        <v/>
      </c>
      <c r="T5" s="14">
        <f>IF(E5="Renewal",Inputs!$B$6,1)</f>
        <v/>
      </c>
      <c r="U5" s="14">
        <f>OR(N(I5)&lt;=Inputs!$B$9,J5&lt;&gt;"")</f>
        <v/>
      </c>
      <c r="V5" s="14">
        <f>IF(L5="",100,IF(N5="",100-M5,N5))</f>
        <v/>
      </c>
      <c r="W5" s="14">
        <f>V5+N(M5)=100</f>
        <v/>
      </c>
      <c r="X5" s="14">
        <f>AND(D5="Closed Won",F5&gt;=Inputs!$B$1,F5&lt;=Inputs!$B$2,S5,U5,W5)</f>
        <v/>
      </c>
      <c r="Y5" s="14">
        <f>IF(X5,G5*R5*T5,0)</f>
        <v/>
      </c>
      <c r="Z5" s="14">
        <f>Y5*V5/100</f>
        <v/>
      </c>
      <c r="AA5" s="14">
        <f>Y5*N(M5)/100</f>
        <v/>
      </c>
      <c r="AB5" s="14">
        <f>IF(AND(X5,K5="Yes",MONTH(F5)=11,Y5&gt;Inputs!$B$8),Inputs!$B$7,0)</f>
        <v/>
      </c>
    </row>
    <row r="6">
      <c r="A6" s="4" t="inlineStr">
        <is>
          <t>OPP-2009</t>
        </is>
      </c>
      <c r="B6" s="4" t="inlineStr">
        <is>
          <t>Northgate Dental</t>
        </is>
      </c>
      <c r="C6" s="4" t="inlineStr">
        <is>
          <t>Priya Shah</t>
        </is>
      </c>
      <c r="D6" s="4" t="inlineStr">
        <is>
          <t>Closed Won</t>
        </is>
      </c>
      <c r="E6" s="4" t="inlineStr">
        <is>
          <t>Renewal</t>
        </is>
      </c>
      <c r="F6" s="13" t="n">
        <v>46296</v>
      </c>
      <c r="G6" s="4" t="n">
        <v>31000</v>
      </c>
      <c r="H6" s="4" t="inlineStr">
        <is>
          <t>USD</t>
        </is>
      </c>
      <c r="I6" s="4" t="n">
        <v>0</v>
      </c>
      <c r="J6" s="4" t="n"/>
      <c r="K6" s="4" t="inlineStr">
        <is>
          <t>No</t>
        </is>
      </c>
      <c r="L6" s="4" t="n"/>
      <c r="M6" s="4" t="n"/>
      <c r="N6" s="4" t="n"/>
      <c r="O6" s="14">
        <f>IF(AND(D6="Closed Won",F6&gt;=Inputs!$B$1,F6&lt;=Inputs!$B$2),G6*(1-N(M6)/100),0)</f>
        <v/>
      </c>
      <c r="P6" s="14">
        <f>IF(AND(D6="Closed Won",F6&gt;=Inputs!$B$1,F6&lt;=Inputs!$B$2),G6*N(M6)/100,0)</f>
        <v/>
      </c>
      <c r="Q6" s="13">
        <f>IF(H6="USD","",_xlfn.MAXIFS(FX!$A$2:$A$100,FX!$B$2:$B$100,H6,FX!$A$2:$A$100,"&lt;="&amp;F6))</f>
        <v/>
      </c>
      <c r="R6" s="15">
        <f>IF(H6="USD",1,SUMIFS(FX!$C$2:$C$100,FX!$A$2:$A$100,Q6,FX!$B$2:$B$100,H6))</f>
        <v/>
      </c>
      <c r="S6" s="14">
        <f>COUNTIF($A$2:A6,A6)=1</f>
        <v/>
      </c>
      <c r="T6" s="14">
        <f>IF(E6="Renewal",Inputs!$B$6,1)</f>
        <v/>
      </c>
      <c r="U6" s="14">
        <f>OR(N(I6)&lt;=Inputs!$B$9,J6&lt;&gt;"")</f>
        <v/>
      </c>
      <c r="V6" s="14">
        <f>IF(L6="",100,IF(N6="",100-M6,N6))</f>
        <v/>
      </c>
      <c r="W6" s="14">
        <f>V6+N(M6)=100</f>
        <v/>
      </c>
      <c r="X6" s="14">
        <f>AND(D6="Closed Won",F6&gt;=Inputs!$B$1,F6&lt;=Inputs!$B$2,S6,U6,W6)</f>
        <v/>
      </c>
      <c r="Y6" s="14">
        <f>IF(X6,G6*R6*T6,0)</f>
        <v/>
      </c>
      <c r="Z6" s="14">
        <f>Y6*V6/100</f>
        <v/>
      </c>
      <c r="AA6" s="14">
        <f>Y6*N(M6)/100</f>
        <v/>
      </c>
      <c r="AB6" s="14">
        <f>IF(AND(X6,K6="Yes",MONTH(F6)=11,Y6&gt;Inputs!$B$8),Inputs!$B$7,0)</f>
        <v/>
      </c>
    </row>
    <row r="7">
      <c r="A7" s="4" t="inlineStr">
        <is>
          <t>OPP-2093</t>
        </is>
      </c>
      <c r="B7" s="4" t="inlineStr">
        <is>
          <t>Holloway Labs</t>
        </is>
      </c>
      <c r="C7" s="4" t="inlineStr">
        <is>
          <t>Priya Shah</t>
        </is>
      </c>
      <c r="D7" s="4" t="inlineStr">
        <is>
          <t>Proposal</t>
        </is>
      </c>
      <c r="E7" s="4" t="inlineStr">
        <is>
          <t>New Business</t>
        </is>
      </c>
      <c r="F7" s="13" t="n">
        <v>46333</v>
      </c>
      <c r="G7" s="4" t="n">
        <v>52000</v>
      </c>
      <c r="H7" s="4" t="inlineStr">
        <is>
          <t>USD</t>
        </is>
      </c>
      <c r="I7" s="4" t="n">
        <v>0</v>
      </c>
      <c r="J7" s="4" t="n"/>
      <c r="K7" s="4" t="inlineStr">
        <is>
          <t>No</t>
        </is>
      </c>
      <c r="L7" s="4" t="n"/>
      <c r="M7" s="4" t="n"/>
      <c r="N7" s="4" t="n"/>
      <c r="O7" s="14">
        <f>IF(AND(D7="Closed Won",F7&gt;=Inputs!$B$1,F7&lt;=Inputs!$B$2),G7*(1-N(M7)/100),0)</f>
        <v/>
      </c>
      <c r="P7" s="14">
        <f>IF(AND(D7="Closed Won",F7&gt;=Inputs!$B$1,F7&lt;=Inputs!$B$2),G7*N(M7)/100,0)</f>
        <v/>
      </c>
      <c r="Q7" s="13">
        <f>IF(H7="USD","",_xlfn.MAXIFS(FX!$A$2:$A$100,FX!$B$2:$B$100,H7,FX!$A$2:$A$100,"&lt;="&amp;F7))</f>
        <v/>
      </c>
      <c r="R7" s="15">
        <f>IF(H7="USD",1,SUMIFS(FX!$C$2:$C$100,FX!$A$2:$A$100,Q7,FX!$B$2:$B$100,H7))</f>
        <v/>
      </c>
      <c r="S7" s="14">
        <f>COUNTIF($A$2:A7,A7)=1</f>
        <v/>
      </c>
      <c r="T7" s="14">
        <f>IF(E7="Renewal",Inputs!$B$6,1)</f>
        <v/>
      </c>
      <c r="U7" s="14">
        <f>OR(N(I7)&lt;=Inputs!$B$9,J7&lt;&gt;"")</f>
        <v/>
      </c>
      <c r="V7" s="14">
        <f>IF(L7="",100,IF(N7="",100-M7,N7))</f>
        <v/>
      </c>
      <c r="W7" s="14">
        <f>V7+N(M7)=100</f>
        <v/>
      </c>
      <c r="X7" s="14">
        <f>AND(D7="Closed Won",F7&gt;=Inputs!$B$1,F7&lt;=Inputs!$B$2,S7,U7,W7)</f>
        <v/>
      </c>
      <c r="Y7" s="14">
        <f>IF(X7,G7*R7*T7,0)</f>
        <v/>
      </c>
      <c r="Z7" s="14">
        <f>Y7*V7/100</f>
        <v/>
      </c>
      <c r="AA7" s="14">
        <f>Y7*N(M7)/100</f>
        <v/>
      </c>
      <c r="AB7" s="14">
        <f>IF(AND(X7,K7="Yes",MONTH(F7)=11,Y7&gt;Inputs!$B$8),Inputs!$B$7,0)</f>
        <v/>
      </c>
    </row>
    <row r="8">
      <c r="A8" s="4" t="inlineStr">
        <is>
          <t>OPP-2070</t>
        </is>
      </c>
      <c r="B8" s="4" t="inlineStr">
        <is>
          <t>Wrenfield Retail</t>
        </is>
      </c>
      <c r="C8" s="4" t="inlineStr">
        <is>
          <t>Ana Lima</t>
        </is>
      </c>
      <c r="D8" s="4" t="inlineStr">
        <is>
          <t>Closed Won</t>
        </is>
      </c>
      <c r="E8" s="4" t="inlineStr">
        <is>
          <t>Renewal</t>
        </is>
      </c>
      <c r="F8" s="13" t="n">
        <v>46313</v>
      </c>
      <c r="G8" s="4" t="n">
        <v>12000</v>
      </c>
      <c r="H8" s="4" t="inlineStr">
        <is>
          <t>USD</t>
        </is>
      </c>
      <c r="I8" s="4" t="n">
        <v>0</v>
      </c>
      <c r="J8" s="4" t="n"/>
      <c r="K8" s="4" t="inlineStr">
        <is>
          <t>No</t>
        </is>
      </c>
      <c r="L8" s="4" t="n"/>
      <c r="M8" s="4" t="n"/>
      <c r="N8" s="4" t="n"/>
      <c r="O8" s="14">
        <f>IF(AND(D8="Closed Won",F8&gt;=Inputs!$B$1,F8&lt;=Inputs!$B$2),G8*(1-N(M8)/100),0)</f>
        <v/>
      </c>
      <c r="P8" s="14">
        <f>IF(AND(D8="Closed Won",F8&gt;=Inputs!$B$1,F8&lt;=Inputs!$B$2),G8*N(M8)/100,0)</f>
        <v/>
      </c>
      <c r="Q8" s="13">
        <f>IF(H8="USD","",_xlfn.MAXIFS(FX!$A$2:$A$100,FX!$B$2:$B$100,H8,FX!$A$2:$A$100,"&lt;="&amp;F8))</f>
        <v/>
      </c>
      <c r="R8" s="15">
        <f>IF(H8="USD",1,SUMIFS(FX!$C$2:$C$100,FX!$A$2:$A$100,Q8,FX!$B$2:$B$100,H8))</f>
        <v/>
      </c>
      <c r="S8" s="14">
        <f>COUNTIF($A$2:A8,A8)=1</f>
        <v/>
      </c>
      <c r="T8" s="14">
        <f>IF(E8="Renewal",Inputs!$B$6,1)</f>
        <v/>
      </c>
      <c r="U8" s="14">
        <f>OR(N(I8)&lt;=Inputs!$B$9,J8&lt;&gt;"")</f>
        <v/>
      </c>
      <c r="V8" s="14">
        <f>IF(L8="",100,IF(N8="",100-M8,N8))</f>
        <v/>
      </c>
      <c r="W8" s="14">
        <f>V8+N(M8)=100</f>
        <v/>
      </c>
      <c r="X8" s="14">
        <f>AND(D8="Closed Won",F8&gt;=Inputs!$B$1,F8&lt;=Inputs!$B$2,S8,U8,W8)</f>
        <v/>
      </c>
      <c r="Y8" s="14">
        <f>IF(X8,G8*R8*T8,0)</f>
        <v/>
      </c>
      <c r="Z8" s="14">
        <f>Y8*V8/100</f>
        <v/>
      </c>
      <c r="AA8" s="14">
        <f>Y8*N(M8)/100</f>
        <v/>
      </c>
      <c r="AB8" s="14">
        <f>IF(AND(X8,K8="Yes",MONTH(F8)=11,Y8&gt;Inputs!$B$8),Inputs!$B$7,0)</f>
        <v/>
      </c>
    </row>
    <row r="9">
      <c r="A9" s="4" t="inlineStr">
        <is>
          <t>OPP-2074</t>
        </is>
      </c>
      <c r="B9" s="4" t="inlineStr">
        <is>
          <t>Brisk Dental</t>
        </is>
      </c>
      <c r="C9" s="4" t="inlineStr">
        <is>
          <t>Ana Lima</t>
        </is>
      </c>
      <c r="D9" s="4" t="inlineStr">
        <is>
          <t>Closed Won</t>
        </is>
      </c>
      <c r="E9" s="4" t="inlineStr">
        <is>
          <t>New Business</t>
        </is>
      </c>
      <c r="F9" s="13" t="n">
        <v>46342</v>
      </c>
      <c r="G9" s="4" t="n">
        <v>48000</v>
      </c>
      <c r="H9" s="4" t="inlineStr">
        <is>
          <t>USD</t>
        </is>
      </c>
      <c r="I9" s="4" t="n">
        <v>0</v>
      </c>
      <c r="J9" s="4" t="n"/>
      <c r="K9" s="4" t="inlineStr">
        <is>
          <t>Yes</t>
        </is>
      </c>
      <c r="L9" s="4" t="n"/>
      <c r="M9" s="4" t="n"/>
      <c r="N9" s="4" t="n"/>
      <c r="O9" s="14">
        <f>IF(AND(D9="Closed Won",F9&gt;=Inputs!$B$1,F9&lt;=Inputs!$B$2),G9*(1-N(M9)/100),0)</f>
        <v/>
      </c>
      <c r="P9" s="14">
        <f>IF(AND(D9="Closed Won",F9&gt;=Inputs!$B$1,F9&lt;=Inputs!$B$2),G9*N(M9)/100,0)</f>
        <v/>
      </c>
      <c r="Q9" s="13">
        <f>IF(H9="USD","",_xlfn.MAXIFS(FX!$A$2:$A$100,FX!$B$2:$B$100,H9,FX!$A$2:$A$100,"&lt;="&amp;F9))</f>
        <v/>
      </c>
      <c r="R9" s="15">
        <f>IF(H9="USD",1,SUMIFS(FX!$C$2:$C$100,FX!$A$2:$A$100,Q9,FX!$B$2:$B$100,H9))</f>
        <v/>
      </c>
      <c r="S9" s="14">
        <f>COUNTIF($A$2:A9,A9)=1</f>
        <v/>
      </c>
      <c r="T9" s="14">
        <f>IF(E9="Renewal",Inputs!$B$6,1)</f>
        <v/>
      </c>
      <c r="U9" s="14">
        <f>OR(N(I9)&lt;=Inputs!$B$9,J9&lt;&gt;"")</f>
        <v/>
      </c>
      <c r="V9" s="14">
        <f>IF(L9="",100,IF(N9="",100-M9,N9))</f>
        <v/>
      </c>
      <c r="W9" s="14">
        <f>V9+N(M9)=100</f>
        <v/>
      </c>
      <c r="X9" s="14">
        <f>AND(D9="Closed Won",F9&gt;=Inputs!$B$1,F9&lt;=Inputs!$B$2,S9,U9,W9)</f>
        <v/>
      </c>
      <c r="Y9" s="14">
        <f>IF(X9,G9*R9*T9,0)</f>
        <v/>
      </c>
      <c r="Z9" s="14">
        <f>Y9*V9/100</f>
        <v/>
      </c>
      <c r="AA9" s="14">
        <f>Y9*N(M9)/100</f>
        <v/>
      </c>
      <c r="AB9" s="14">
        <f>IF(AND(X9,K9="Yes",MONTH(F9)=11,Y9&gt;Inputs!$B$8),Inputs!$B$7,0)</f>
        <v/>
      </c>
    </row>
    <row r="10">
      <c r="A10" s="4" t="inlineStr">
        <is>
          <t>OPP-2069</t>
        </is>
      </c>
      <c r="B10" s="4" t="inlineStr">
        <is>
          <t>Mireval Builders</t>
        </is>
      </c>
      <c r="C10" s="4" t="inlineStr">
        <is>
          <t>Ana Lima</t>
        </is>
      </c>
      <c r="D10" s="4" t="inlineStr">
        <is>
          <t>Closed Won</t>
        </is>
      </c>
      <c r="E10" s="4" t="inlineStr">
        <is>
          <t>New Business</t>
        </is>
      </c>
      <c r="F10" s="13" t="n">
        <v>46313</v>
      </c>
      <c r="G10" s="4" t="n">
        <v>27000</v>
      </c>
      <c r="H10" s="4" t="inlineStr">
        <is>
          <t>USD</t>
        </is>
      </c>
      <c r="I10" s="4" t="n">
        <v>10</v>
      </c>
      <c r="J10" s="4" t="n"/>
      <c r="K10" s="4" t="inlineStr">
        <is>
          <t>No</t>
        </is>
      </c>
      <c r="L10" s="4" t="n"/>
      <c r="M10" s="4" t="n"/>
      <c r="N10" s="4" t="n"/>
      <c r="O10" s="14">
        <f>IF(AND(D10="Closed Won",F10&gt;=Inputs!$B$1,F10&lt;=Inputs!$B$2),G10*(1-N(M10)/100),0)</f>
        <v/>
      </c>
      <c r="P10" s="14">
        <f>IF(AND(D10="Closed Won",F10&gt;=Inputs!$B$1,F10&lt;=Inputs!$B$2),G10*N(M10)/100,0)</f>
        <v/>
      </c>
      <c r="Q10" s="13">
        <f>IF(H10="USD","",_xlfn.MAXIFS(FX!$A$2:$A$100,FX!$B$2:$B$100,H10,FX!$A$2:$A$100,"&lt;="&amp;F10))</f>
        <v/>
      </c>
      <c r="R10" s="15">
        <f>IF(H10="USD",1,SUMIFS(FX!$C$2:$C$100,FX!$A$2:$A$100,Q10,FX!$B$2:$B$100,H10))</f>
        <v/>
      </c>
      <c r="S10" s="14">
        <f>COUNTIF($A$2:A10,A10)=1</f>
        <v/>
      </c>
      <c r="T10" s="14">
        <f>IF(E10="Renewal",Inputs!$B$6,1)</f>
        <v/>
      </c>
      <c r="U10" s="14">
        <f>OR(N(I10)&lt;=Inputs!$B$9,J10&lt;&gt;"")</f>
        <v/>
      </c>
      <c r="V10" s="14">
        <f>IF(L10="",100,IF(N10="",100-M10,N10))</f>
        <v/>
      </c>
      <c r="W10" s="14">
        <f>V10+N(M10)=100</f>
        <v/>
      </c>
      <c r="X10" s="14">
        <f>AND(D10="Closed Won",F10&gt;=Inputs!$B$1,F10&lt;=Inputs!$B$2,S10,U10,W10)</f>
        <v/>
      </c>
      <c r="Y10" s="14">
        <f>IF(X10,G10*R10*T10,0)</f>
        <v/>
      </c>
      <c r="Z10" s="14">
        <f>Y10*V10/100</f>
        <v/>
      </c>
      <c r="AA10" s="14">
        <f>Y10*N(M10)/100</f>
        <v/>
      </c>
      <c r="AB10" s="14">
        <f>IF(AND(X10,K10="Yes",MONTH(F10)=11,Y10&gt;Inputs!$B$8),Inputs!$B$7,0)</f>
        <v/>
      </c>
    </row>
    <row r="11">
      <c r="A11" s="4" t="inlineStr">
        <is>
          <t>OPP-2049</t>
        </is>
      </c>
      <c r="B11" s="4" t="inlineStr">
        <is>
          <t>Fairlow Dental</t>
        </is>
      </c>
      <c r="C11" s="4" t="inlineStr">
        <is>
          <t>Marcus Reed</t>
        </is>
      </c>
      <c r="D11" s="4" t="inlineStr">
        <is>
          <t>Closed Won</t>
        </is>
      </c>
      <c r="E11" s="4" t="inlineStr">
        <is>
          <t>Expansion</t>
        </is>
      </c>
      <c r="F11" s="13" t="n">
        <v>46337</v>
      </c>
      <c r="G11" s="4" t="n">
        <v>29000</v>
      </c>
      <c r="H11" s="4" t="inlineStr">
        <is>
          <t>USD</t>
        </is>
      </c>
      <c r="I11" s="4" t="n">
        <v>15</v>
      </c>
      <c r="J11" s="4" t="n"/>
      <c r="K11" s="4" t="inlineStr">
        <is>
          <t>No</t>
        </is>
      </c>
      <c r="L11" s="4" t="n"/>
      <c r="M11" s="4" t="n"/>
      <c r="N11" s="4" t="n"/>
      <c r="O11" s="14">
        <f>IF(AND(D11="Closed Won",F11&gt;=Inputs!$B$1,F11&lt;=Inputs!$B$2),G11*(1-N(M11)/100),0)</f>
        <v/>
      </c>
      <c r="P11" s="14">
        <f>IF(AND(D11="Closed Won",F11&gt;=Inputs!$B$1,F11&lt;=Inputs!$B$2),G11*N(M11)/100,0)</f>
        <v/>
      </c>
      <c r="Q11" s="13">
        <f>IF(H11="USD","",_xlfn.MAXIFS(FX!$A$2:$A$100,FX!$B$2:$B$100,H11,FX!$A$2:$A$100,"&lt;="&amp;F11))</f>
        <v/>
      </c>
      <c r="R11" s="15">
        <f>IF(H11="USD",1,SUMIFS(FX!$C$2:$C$100,FX!$A$2:$A$100,Q11,FX!$B$2:$B$100,H11))</f>
        <v/>
      </c>
      <c r="S11" s="14">
        <f>COUNTIF($A$2:A11,A11)=1</f>
        <v/>
      </c>
      <c r="T11" s="14">
        <f>IF(E11="Renewal",Inputs!$B$6,1)</f>
        <v/>
      </c>
      <c r="U11" s="14">
        <f>OR(N(I11)&lt;=Inputs!$B$9,J11&lt;&gt;"")</f>
        <v/>
      </c>
      <c r="V11" s="14">
        <f>IF(L11="",100,IF(N11="",100-M11,N11))</f>
        <v/>
      </c>
      <c r="W11" s="14">
        <f>V11+N(M11)=100</f>
        <v/>
      </c>
      <c r="X11" s="14">
        <f>AND(D11="Closed Won",F11&gt;=Inputs!$B$1,F11&lt;=Inputs!$B$2,S11,U11,W11)</f>
        <v/>
      </c>
      <c r="Y11" s="14">
        <f>IF(X11,G11*R11*T11,0)</f>
        <v/>
      </c>
      <c r="Z11" s="14">
        <f>Y11*V11/100</f>
        <v/>
      </c>
      <c r="AA11" s="14">
        <f>Y11*N(M11)/100</f>
        <v/>
      </c>
      <c r="AB11" s="14">
        <f>IF(AND(X11,K11="Yes",MONTH(F11)=11,Y11&gt;Inputs!$B$8),Inputs!$B$7,0)</f>
        <v/>
      </c>
    </row>
    <row r="12">
      <c r="A12" s="4" t="inlineStr">
        <is>
          <t>OPP-2014</t>
        </is>
      </c>
      <c r="B12" s="4" t="inlineStr">
        <is>
          <t>Gantry Health</t>
        </is>
      </c>
      <c r="C12" s="4" t="inlineStr">
        <is>
          <t>Priya Shah</t>
        </is>
      </c>
      <c r="D12" s="4" t="inlineStr">
        <is>
          <t>Closed Won</t>
        </is>
      </c>
      <c r="E12" s="4" t="inlineStr">
        <is>
          <t>Expansion</t>
        </is>
      </c>
      <c r="F12" s="13" t="n">
        <v>46375</v>
      </c>
      <c r="G12" s="4" t="n">
        <v>13500</v>
      </c>
      <c r="H12" s="4" t="inlineStr">
        <is>
          <t>USD</t>
        </is>
      </c>
      <c r="I12" s="4" t="n">
        <v>0</v>
      </c>
      <c r="J12" s="4" t="n"/>
      <c r="K12" s="4" t="inlineStr">
        <is>
          <t>No</t>
        </is>
      </c>
      <c r="L12" s="4" t="n"/>
      <c r="M12" s="4" t="n"/>
      <c r="N12" s="4" t="n"/>
      <c r="O12" s="14">
        <f>IF(AND(D12="Closed Won",F12&gt;=Inputs!$B$1,F12&lt;=Inputs!$B$2),G12*(1-N(M12)/100),0)</f>
        <v/>
      </c>
      <c r="P12" s="14">
        <f>IF(AND(D12="Closed Won",F12&gt;=Inputs!$B$1,F12&lt;=Inputs!$B$2),G12*N(M12)/100,0)</f>
        <v/>
      </c>
      <c r="Q12" s="13">
        <f>IF(H12="USD","",_xlfn.MAXIFS(FX!$A$2:$A$100,FX!$B$2:$B$100,H12,FX!$A$2:$A$100,"&lt;="&amp;F12))</f>
        <v/>
      </c>
      <c r="R12" s="15">
        <f>IF(H12="USD",1,SUMIFS(FX!$C$2:$C$100,FX!$A$2:$A$100,Q12,FX!$B$2:$B$100,H12))</f>
        <v/>
      </c>
      <c r="S12" s="14">
        <f>COUNTIF($A$2:A12,A12)=1</f>
        <v/>
      </c>
      <c r="T12" s="14">
        <f>IF(E12="Renewal",Inputs!$B$6,1)</f>
        <v/>
      </c>
      <c r="U12" s="14">
        <f>OR(N(I12)&lt;=Inputs!$B$9,J12&lt;&gt;"")</f>
        <v/>
      </c>
      <c r="V12" s="14">
        <f>IF(L12="",100,IF(N12="",100-M12,N12))</f>
        <v/>
      </c>
      <c r="W12" s="14">
        <f>V12+N(M12)=100</f>
        <v/>
      </c>
      <c r="X12" s="14">
        <f>AND(D12="Closed Won",F12&gt;=Inputs!$B$1,F12&lt;=Inputs!$B$2,S12,U12,W12)</f>
        <v/>
      </c>
      <c r="Y12" s="14">
        <f>IF(X12,G12*R12*T12,0)</f>
        <v/>
      </c>
      <c r="Z12" s="14">
        <f>Y12*V12/100</f>
        <v/>
      </c>
      <c r="AA12" s="14">
        <f>Y12*N(M12)/100</f>
        <v/>
      </c>
      <c r="AB12" s="14">
        <f>IF(AND(X12,K12="Yes",MONTH(F12)=11,Y12&gt;Inputs!$B$8),Inputs!$B$7,0)</f>
        <v/>
      </c>
    </row>
    <row r="13">
      <c r="A13" s="4" t="inlineStr">
        <is>
          <t>OPP-2016</t>
        </is>
      </c>
      <c r="B13" s="4" t="inlineStr">
        <is>
          <t>Kessel Analytics</t>
        </is>
      </c>
      <c r="C13" s="4" t="inlineStr">
        <is>
          <t>Priya Shah</t>
        </is>
      </c>
      <c r="D13" s="4" t="inlineStr">
        <is>
          <t>Closed Won</t>
        </is>
      </c>
      <c r="E13" s="4" t="inlineStr">
        <is>
          <t>Renewal</t>
        </is>
      </c>
      <c r="F13" s="13" t="n">
        <v>46371</v>
      </c>
      <c r="G13" s="4" t="n">
        <v>13000</v>
      </c>
      <c r="H13" s="4" t="inlineStr">
        <is>
          <t>USD</t>
        </is>
      </c>
      <c r="I13" s="4" t="n">
        <v>0</v>
      </c>
      <c r="J13" s="4" t="n"/>
      <c r="K13" s="4" t="inlineStr">
        <is>
          <t>No</t>
        </is>
      </c>
      <c r="L13" s="4" t="n"/>
      <c r="M13" s="4" t="n"/>
      <c r="N13" s="4" t="n"/>
      <c r="O13" s="14">
        <f>IF(AND(D13="Closed Won",F13&gt;=Inputs!$B$1,F13&lt;=Inputs!$B$2),G13*(1-N(M13)/100),0)</f>
        <v/>
      </c>
      <c r="P13" s="14">
        <f>IF(AND(D13="Closed Won",F13&gt;=Inputs!$B$1,F13&lt;=Inputs!$B$2),G13*N(M13)/100,0)</f>
        <v/>
      </c>
      <c r="Q13" s="13">
        <f>IF(H13="USD","",_xlfn.MAXIFS(FX!$A$2:$A$100,FX!$B$2:$B$100,H13,FX!$A$2:$A$100,"&lt;="&amp;F13))</f>
        <v/>
      </c>
      <c r="R13" s="15">
        <f>IF(H13="USD",1,SUMIFS(FX!$C$2:$C$100,FX!$A$2:$A$100,Q13,FX!$B$2:$B$100,H13))</f>
        <v/>
      </c>
      <c r="S13" s="14">
        <f>COUNTIF($A$2:A13,A13)=1</f>
        <v/>
      </c>
      <c r="T13" s="14">
        <f>IF(E13="Renewal",Inputs!$B$6,1)</f>
        <v/>
      </c>
      <c r="U13" s="14">
        <f>OR(N(I13)&lt;=Inputs!$B$9,J13&lt;&gt;"")</f>
        <v/>
      </c>
      <c r="V13" s="14">
        <f>IF(L13="",100,IF(N13="",100-M13,N13))</f>
        <v/>
      </c>
      <c r="W13" s="14">
        <f>V13+N(M13)=100</f>
        <v/>
      </c>
      <c r="X13" s="14">
        <f>AND(D13="Closed Won",F13&gt;=Inputs!$B$1,F13&lt;=Inputs!$B$2,S13,U13,W13)</f>
        <v/>
      </c>
      <c r="Y13" s="14">
        <f>IF(X13,G13*R13*T13,0)</f>
        <v/>
      </c>
      <c r="Z13" s="14">
        <f>Y13*V13/100</f>
        <v/>
      </c>
      <c r="AA13" s="14">
        <f>Y13*N(M13)/100</f>
        <v/>
      </c>
      <c r="AB13" s="14">
        <f>IF(AND(X13,K13="Yes",MONTH(F13)=11,Y13&gt;Inputs!$B$8),Inputs!$B$7,0)</f>
        <v/>
      </c>
    </row>
    <row r="14">
      <c r="A14" s="4" t="inlineStr">
        <is>
          <t>OPP-2054</t>
        </is>
      </c>
      <c r="B14" s="4" t="inlineStr">
        <is>
          <t>Mireval Analytics</t>
        </is>
      </c>
      <c r="C14" s="4" t="inlineStr">
        <is>
          <t>Marcus Reed</t>
        </is>
      </c>
      <c r="D14" s="4" t="inlineStr">
        <is>
          <t>Closed Won</t>
        </is>
      </c>
      <c r="E14" s="4" t="inlineStr">
        <is>
          <t>Amendment</t>
        </is>
      </c>
      <c r="F14" s="13" t="n">
        <v>46346</v>
      </c>
      <c r="G14" s="4" t="n">
        <v>-40000</v>
      </c>
      <c r="H14" s="4" t="inlineStr">
        <is>
          <t>USD</t>
        </is>
      </c>
      <c r="I14" s="4" t="n">
        <v>0</v>
      </c>
      <c r="J14" s="4" t="n"/>
      <c r="K14" s="4" t="inlineStr">
        <is>
          <t>No</t>
        </is>
      </c>
      <c r="L14" s="4" t="n"/>
      <c r="M14" s="4" t="n"/>
      <c r="N14" s="4" t="n"/>
      <c r="O14" s="14">
        <f>IF(AND(D14="Closed Won",F14&gt;=Inputs!$B$1,F14&lt;=Inputs!$B$2),G14*(1-N(M14)/100),0)</f>
        <v/>
      </c>
      <c r="P14" s="14">
        <f>IF(AND(D14="Closed Won",F14&gt;=Inputs!$B$1,F14&lt;=Inputs!$B$2),G14*N(M14)/100,0)</f>
        <v/>
      </c>
      <c r="Q14" s="13">
        <f>IF(H14="USD","",_xlfn.MAXIFS(FX!$A$2:$A$100,FX!$B$2:$B$100,H14,FX!$A$2:$A$100,"&lt;="&amp;F14))</f>
        <v/>
      </c>
      <c r="R14" s="15">
        <f>IF(H14="USD",1,SUMIFS(FX!$C$2:$C$100,FX!$A$2:$A$100,Q14,FX!$B$2:$B$100,H14))</f>
        <v/>
      </c>
      <c r="S14" s="14">
        <f>COUNTIF($A$2:A14,A14)=1</f>
        <v/>
      </c>
      <c r="T14" s="14">
        <f>IF(E14="Renewal",Inputs!$B$6,1)</f>
        <v/>
      </c>
      <c r="U14" s="14">
        <f>OR(N(I14)&lt;=Inputs!$B$9,J14&lt;&gt;"")</f>
        <v/>
      </c>
      <c r="V14" s="14">
        <f>IF(L14="",100,IF(N14="",100-M14,N14))</f>
        <v/>
      </c>
      <c r="W14" s="14">
        <f>V14+N(M14)=100</f>
        <v/>
      </c>
      <c r="X14" s="14">
        <f>AND(D14="Closed Won",F14&gt;=Inputs!$B$1,F14&lt;=Inputs!$B$2,S14,U14,W14)</f>
        <v/>
      </c>
      <c r="Y14" s="14">
        <f>IF(X14,G14*R14*T14,0)</f>
        <v/>
      </c>
      <c r="Z14" s="14">
        <f>Y14*V14/100</f>
        <v/>
      </c>
      <c r="AA14" s="14">
        <f>Y14*N(M14)/100</f>
        <v/>
      </c>
      <c r="AB14" s="14">
        <f>IF(AND(X14,K14="Yes",MONTH(F14)=11,Y14&gt;Inputs!$B$8),Inputs!$B$7,0)</f>
        <v/>
      </c>
    </row>
    <row r="15">
      <c r="A15" s="4" t="inlineStr">
        <is>
          <t>OPP-2087</t>
        </is>
      </c>
      <c r="B15" s="4" t="inlineStr">
        <is>
          <t>Dunmore Labs</t>
        </is>
      </c>
      <c r="C15" s="4" t="inlineStr">
        <is>
          <t>Tyler Brooks</t>
        </is>
      </c>
      <c r="D15" s="4" t="inlineStr">
        <is>
          <t>Proposal</t>
        </is>
      </c>
      <c r="E15" s="4" t="inlineStr">
        <is>
          <t>New Business</t>
        </is>
      </c>
      <c r="F15" s="13" t="n">
        <v>46387</v>
      </c>
      <c r="G15" s="4" t="n">
        <v>28000</v>
      </c>
      <c r="H15" s="4" t="inlineStr">
        <is>
          <t>USD</t>
        </is>
      </c>
      <c r="I15" s="4" t="n">
        <v>0</v>
      </c>
      <c r="J15" s="4" t="n"/>
      <c r="K15" s="4" t="inlineStr">
        <is>
          <t>No</t>
        </is>
      </c>
      <c r="L15" s="4" t="n"/>
      <c r="M15" s="4" t="n"/>
      <c r="N15" s="4" t="n"/>
      <c r="O15" s="14">
        <f>IF(AND(D15="Closed Won",F15&gt;=Inputs!$B$1,F15&lt;=Inputs!$B$2),G15*(1-N(M15)/100),0)</f>
        <v/>
      </c>
      <c r="P15" s="14">
        <f>IF(AND(D15="Closed Won",F15&gt;=Inputs!$B$1,F15&lt;=Inputs!$B$2),G15*N(M15)/100,0)</f>
        <v/>
      </c>
      <c r="Q15" s="13">
        <f>IF(H15="USD","",_xlfn.MAXIFS(FX!$A$2:$A$100,FX!$B$2:$B$100,H15,FX!$A$2:$A$100,"&lt;="&amp;F15))</f>
        <v/>
      </c>
      <c r="R15" s="15">
        <f>IF(H15="USD",1,SUMIFS(FX!$C$2:$C$100,FX!$A$2:$A$100,Q15,FX!$B$2:$B$100,H15))</f>
        <v/>
      </c>
      <c r="S15" s="14">
        <f>COUNTIF($A$2:A15,A15)=1</f>
        <v/>
      </c>
      <c r="T15" s="14">
        <f>IF(E15="Renewal",Inputs!$B$6,1)</f>
        <v/>
      </c>
      <c r="U15" s="14">
        <f>OR(N(I15)&lt;=Inputs!$B$9,J15&lt;&gt;"")</f>
        <v/>
      </c>
      <c r="V15" s="14">
        <f>IF(L15="",100,IF(N15="",100-M15,N15))</f>
        <v/>
      </c>
      <c r="W15" s="14">
        <f>V15+N(M15)=100</f>
        <v/>
      </c>
      <c r="X15" s="14">
        <f>AND(D15="Closed Won",F15&gt;=Inputs!$B$1,F15&lt;=Inputs!$B$2,S15,U15,W15)</f>
        <v/>
      </c>
      <c r="Y15" s="14">
        <f>IF(X15,G15*R15*T15,0)</f>
        <v/>
      </c>
      <c r="Z15" s="14">
        <f>Y15*V15/100</f>
        <v/>
      </c>
      <c r="AA15" s="14">
        <f>Y15*N(M15)/100</f>
        <v/>
      </c>
      <c r="AB15" s="14">
        <f>IF(AND(X15,K15="Yes",MONTH(F15)=11,Y15&gt;Inputs!$B$8),Inputs!$B$7,0)</f>
        <v/>
      </c>
    </row>
    <row r="16">
      <c r="A16" s="4" t="inlineStr">
        <is>
          <t>OPP-2021</t>
        </is>
      </c>
      <c r="B16" s="4" t="inlineStr">
        <is>
          <t>Quill Dental</t>
        </is>
      </c>
      <c r="C16" s="4" t="inlineStr">
        <is>
          <t>Tyler Brooks</t>
        </is>
      </c>
      <c r="D16" s="4" t="inlineStr">
        <is>
          <t>Closed Won</t>
        </is>
      </c>
      <c r="E16" s="4" t="inlineStr">
        <is>
          <t>Renewal</t>
        </is>
      </c>
      <c r="F16" s="13" t="n">
        <v>46307</v>
      </c>
      <c r="G16" s="4" t="n">
        <v>36000</v>
      </c>
      <c r="H16" s="4" t="inlineStr">
        <is>
          <t>USD</t>
        </is>
      </c>
      <c r="I16" s="4" t="n">
        <v>15</v>
      </c>
      <c r="J16" s="4" t="n"/>
      <c r="K16" s="4" t="inlineStr">
        <is>
          <t>No</t>
        </is>
      </c>
      <c r="L16" s="4" t="n"/>
      <c r="M16" s="4" t="n"/>
      <c r="N16" s="4" t="n"/>
      <c r="O16" s="14">
        <f>IF(AND(D16="Closed Won",F16&gt;=Inputs!$B$1,F16&lt;=Inputs!$B$2),G16*(1-N(M16)/100),0)</f>
        <v/>
      </c>
      <c r="P16" s="14">
        <f>IF(AND(D16="Closed Won",F16&gt;=Inputs!$B$1,F16&lt;=Inputs!$B$2),G16*N(M16)/100,0)</f>
        <v/>
      </c>
      <c r="Q16" s="13">
        <f>IF(H16="USD","",_xlfn.MAXIFS(FX!$A$2:$A$100,FX!$B$2:$B$100,H16,FX!$A$2:$A$100,"&lt;="&amp;F16))</f>
        <v/>
      </c>
      <c r="R16" s="15">
        <f>IF(H16="USD",1,SUMIFS(FX!$C$2:$C$100,FX!$A$2:$A$100,Q16,FX!$B$2:$B$100,H16))</f>
        <v/>
      </c>
      <c r="S16" s="14">
        <f>COUNTIF($A$2:A16,A16)=1</f>
        <v/>
      </c>
      <c r="T16" s="14">
        <f>IF(E16="Renewal",Inputs!$B$6,1)</f>
        <v/>
      </c>
      <c r="U16" s="14">
        <f>OR(N(I16)&lt;=Inputs!$B$9,J16&lt;&gt;"")</f>
        <v/>
      </c>
      <c r="V16" s="14">
        <f>IF(L16="",100,IF(N16="",100-M16,N16))</f>
        <v/>
      </c>
      <c r="W16" s="14">
        <f>V16+N(M16)=100</f>
        <v/>
      </c>
      <c r="X16" s="14">
        <f>AND(D16="Closed Won",F16&gt;=Inputs!$B$1,F16&lt;=Inputs!$B$2,S16,U16,W16)</f>
        <v/>
      </c>
      <c r="Y16" s="14">
        <f>IF(X16,G16*R16*T16,0)</f>
        <v/>
      </c>
      <c r="Z16" s="14">
        <f>Y16*V16/100</f>
        <v/>
      </c>
      <c r="AA16" s="14">
        <f>Y16*N(M16)/100</f>
        <v/>
      </c>
      <c r="AB16" s="14">
        <f>IF(AND(X16,K16="Yes",MONTH(F16)=11,Y16&gt;Inputs!$B$8),Inputs!$B$7,0)</f>
        <v/>
      </c>
    </row>
    <row r="17">
      <c r="A17" s="4" t="inlineStr">
        <is>
          <t>OPP-2082</t>
        </is>
      </c>
      <c r="B17" s="4" t="inlineStr">
        <is>
          <t>Pell Supply</t>
        </is>
      </c>
      <c r="C17" s="4" t="inlineStr">
        <is>
          <t>Dan Ortiz</t>
        </is>
      </c>
      <c r="D17" s="4" t="inlineStr">
        <is>
          <t>Negotiation</t>
        </is>
      </c>
      <c r="E17" s="4" t="inlineStr">
        <is>
          <t>New Business</t>
        </is>
      </c>
      <c r="F17" s="13" t="n">
        <v>46314</v>
      </c>
      <c r="G17" s="4" t="n">
        <v>16000</v>
      </c>
      <c r="H17" s="4" t="inlineStr">
        <is>
          <t>USD</t>
        </is>
      </c>
      <c r="I17" s="4" t="n">
        <v>0</v>
      </c>
      <c r="J17" s="4" t="n"/>
      <c r="K17" s="4" t="inlineStr">
        <is>
          <t>No</t>
        </is>
      </c>
      <c r="L17" s="4" t="n"/>
      <c r="M17" s="4" t="n"/>
      <c r="N17" s="4" t="n"/>
      <c r="O17" s="14">
        <f>IF(AND(D17="Closed Won",F17&gt;=Inputs!$B$1,F17&lt;=Inputs!$B$2),G17*(1-N(M17)/100),0)</f>
        <v/>
      </c>
      <c r="P17" s="14">
        <f>IF(AND(D17="Closed Won",F17&gt;=Inputs!$B$1,F17&lt;=Inputs!$B$2),G17*N(M17)/100,0)</f>
        <v/>
      </c>
      <c r="Q17" s="13">
        <f>IF(H17="USD","",_xlfn.MAXIFS(FX!$A$2:$A$100,FX!$B$2:$B$100,H17,FX!$A$2:$A$100,"&lt;="&amp;F17))</f>
        <v/>
      </c>
      <c r="R17" s="15">
        <f>IF(H17="USD",1,SUMIFS(FX!$C$2:$C$100,FX!$A$2:$A$100,Q17,FX!$B$2:$B$100,H17))</f>
        <v/>
      </c>
      <c r="S17" s="14">
        <f>COUNTIF($A$2:A17,A17)=1</f>
        <v/>
      </c>
      <c r="T17" s="14">
        <f>IF(E17="Renewal",Inputs!$B$6,1)</f>
        <v/>
      </c>
      <c r="U17" s="14">
        <f>OR(N(I17)&lt;=Inputs!$B$9,J17&lt;&gt;"")</f>
        <v/>
      </c>
      <c r="V17" s="14">
        <f>IF(L17="",100,IF(N17="",100-M17,N17))</f>
        <v/>
      </c>
      <c r="W17" s="14">
        <f>V17+N(M17)=100</f>
        <v/>
      </c>
      <c r="X17" s="14">
        <f>AND(D17="Closed Won",F17&gt;=Inputs!$B$1,F17&lt;=Inputs!$B$2,S17,U17,W17)</f>
        <v/>
      </c>
      <c r="Y17" s="14">
        <f>IF(X17,G17*R17*T17,0)</f>
        <v/>
      </c>
      <c r="Z17" s="14">
        <f>Y17*V17/100</f>
        <v/>
      </c>
      <c r="AA17" s="14">
        <f>Y17*N(M17)/100</f>
        <v/>
      </c>
      <c r="AB17" s="14">
        <f>IF(AND(X17,K17="Yes",MONTH(F17)=11,Y17&gt;Inputs!$B$8),Inputs!$B$7,0)</f>
        <v/>
      </c>
    </row>
    <row r="18">
      <c r="A18" s="4" t="inlineStr">
        <is>
          <t>OPP-2026</t>
        </is>
      </c>
      <c r="B18" s="4" t="inlineStr">
        <is>
          <t>Brisk Supply</t>
        </is>
      </c>
      <c r="C18" s="4" t="inlineStr">
        <is>
          <t>Tyler Brooks</t>
        </is>
      </c>
      <c r="D18" s="4" t="inlineStr">
        <is>
          <t>Closed Won</t>
        </is>
      </c>
      <c r="E18" s="4" t="inlineStr">
        <is>
          <t>Expansion</t>
        </is>
      </c>
      <c r="F18" s="13" t="n">
        <v>46359</v>
      </c>
      <c r="G18" s="4" t="n">
        <v>18500</v>
      </c>
      <c r="H18" s="4" t="inlineStr">
        <is>
          <t>USD</t>
        </is>
      </c>
      <c r="I18" s="4" t="n">
        <v>0</v>
      </c>
      <c r="J18" s="4" t="n"/>
      <c r="K18" s="4" t="inlineStr">
        <is>
          <t>No</t>
        </is>
      </c>
      <c r="L18" s="4" t="n"/>
      <c r="M18" s="4" t="n"/>
      <c r="N18" s="4" t="n"/>
      <c r="O18" s="14">
        <f>IF(AND(D18="Closed Won",F18&gt;=Inputs!$B$1,F18&lt;=Inputs!$B$2),G18*(1-N(M18)/100),0)</f>
        <v/>
      </c>
      <c r="P18" s="14">
        <f>IF(AND(D18="Closed Won",F18&gt;=Inputs!$B$1,F18&lt;=Inputs!$B$2),G18*N(M18)/100,0)</f>
        <v/>
      </c>
      <c r="Q18" s="13">
        <f>IF(H18="USD","",_xlfn.MAXIFS(FX!$A$2:$A$100,FX!$B$2:$B$100,H18,FX!$A$2:$A$100,"&lt;="&amp;F18))</f>
        <v/>
      </c>
      <c r="R18" s="15">
        <f>IF(H18="USD",1,SUMIFS(FX!$C$2:$C$100,FX!$A$2:$A$100,Q18,FX!$B$2:$B$100,H18))</f>
        <v/>
      </c>
      <c r="S18" s="14">
        <f>COUNTIF($A$2:A18,A18)=1</f>
        <v/>
      </c>
      <c r="T18" s="14">
        <f>IF(E18="Renewal",Inputs!$B$6,1)</f>
        <v/>
      </c>
      <c r="U18" s="14">
        <f>OR(N(I18)&lt;=Inputs!$B$9,J18&lt;&gt;"")</f>
        <v/>
      </c>
      <c r="V18" s="14">
        <f>IF(L18="",100,IF(N18="",100-M18,N18))</f>
        <v/>
      </c>
      <c r="W18" s="14">
        <f>V18+N(M18)=100</f>
        <v/>
      </c>
      <c r="X18" s="14">
        <f>AND(D18="Closed Won",F18&gt;=Inputs!$B$1,F18&lt;=Inputs!$B$2,S18,U18,W18)</f>
        <v/>
      </c>
      <c r="Y18" s="14">
        <f>IF(X18,G18*R18*T18,0)</f>
        <v/>
      </c>
      <c r="Z18" s="14">
        <f>Y18*V18/100</f>
        <v/>
      </c>
      <c r="AA18" s="14">
        <f>Y18*N(M18)/100</f>
        <v/>
      </c>
      <c r="AB18" s="14">
        <f>IF(AND(X18,K18="Yes",MONTH(F18)=11,Y18&gt;Inputs!$B$8),Inputs!$B$7,0)</f>
        <v/>
      </c>
    </row>
    <row r="19">
      <c r="A19" s="4" t="inlineStr">
        <is>
          <t>OPP-2039</t>
        </is>
      </c>
      <c r="B19" s="4" t="inlineStr">
        <is>
          <t>Holloway Retail</t>
        </is>
      </c>
      <c r="C19" s="4" t="inlineStr">
        <is>
          <t>Sarah Chen</t>
        </is>
      </c>
      <c r="D19" s="4" t="inlineStr">
        <is>
          <t>Closed Won</t>
        </is>
      </c>
      <c r="E19" s="4" t="inlineStr">
        <is>
          <t>Expansion</t>
        </is>
      </c>
      <c r="F19" s="13" t="n">
        <v>46301</v>
      </c>
      <c r="G19" s="4" t="n">
        <v>25500</v>
      </c>
      <c r="H19" s="4" t="inlineStr">
        <is>
          <t>USD</t>
        </is>
      </c>
      <c r="I19" s="4" t="n">
        <v>5</v>
      </c>
      <c r="J19" s="4" t="n"/>
      <c r="K19" s="4" t="inlineStr">
        <is>
          <t>No</t>
        </is>
      </c>
      <c r="L19" s="4" t="n"/>
      <c r="M19" s="4" t="n"/>
      <c r="N19" s="4" t="n"/>
      <c r="O19" s="14">
        <f>IF(AND(D19="Closed Won",F19&gt;=Inputs!$B$1,F19&lt;=Inputs!$B$2),G19*(1-N(M19)/100),0)</f>
        <v/>
      </c>
      <c r="P19" s="14">
        <f>IF(AND(D19="Closed Won",F19&gt;=Inputs!$B$1,F19&lt;=Inputs!$B$2),G19*N(M19)/100,0)</f>
        <v/>
      </c>
      <c r="Q19" s="13">
        <f>IF(H19="USD","",_xlfn.MAXIFS(FX!$A$2:$A$100,FX!$B$2:$B$100,H19,FX!$A$2:$A$100,"&lt;="&amp;F19))</f>
        <v/>
      </c>
      <c r="R19" s="15">
        <f>IF(H19="USD",1,SUMIFS(FX!$C$2:$C$100,FX!$A$2:$A$100,Q19,FX!$B$2:$B$100,H19))</f>
        <v/>
      </c>
      <c r="S19" s="14">
        <f>COUNTIF($A$2:A19,A19)=1</f>
        <v/>
      </c>
      <c r="T19" s="14">
        <f>IF(E19="Renewal",Inputs!$B$6,1)</f>
        <v/>
      </c>
      <c r="U19" s="14">
        <f>OR(N(I19)&lt;=Inputs!$B$9,J19&lt;&gt;"")</f>
        <v/>
      </c>
      <c r="V19" s="14">
        <f>IF(L19="",100,IF(N19="",100-M19,N19))</f>
        <v/>
      </c>
      <c r="W19" s="14">
        <f>V19+N(M19)=100</f>
        <v/>
      </c>
      <c r="X19" s="14">
        <f>AND(D19="Closed Won",F19&gt;=Inputs!$B$1,F19&lt;=Inputs!$B$2,S19,U19,W19)</f>
        <v/>
      </c>
      <c r="Y19" s="14">
        <f>IF(X19,G19*R19*T19,0)</f>
        <v/>
      </c>
      <c r="Z19" s="14">
        <f>Y19*V19/100</f>
        <v/>
      </c>
      <c r="AA19" s="14">
        <f>Y19*N(M19)/100</f>
        <v/>
      </c>
      <c r="AB19" s="14">
        <f>IF(AND(X19,K19="Yes",MONTH(F19)=11,Y19&gt;Inputs!$B$8),Inputs!$B$7,0)</f>
        <v/>
      </c>
    </row>
    <row r="20">
      <c r="A20" s="4" t="inlineStr">
        <is>
          <t>OPP-2088</t>
        </is>
      </c>
      <c r="B20" s="4" t="inlineStr">
        <is>
          <t>Bell Dental</t>
        </is>
      </c>
      <c r="C20" s="4" t="inlineStr">
        <is>
          <t>Marcus Reed</t>
        </is>
      </c>
      <c r="D20" s="4" t="inlineStr">
        <is>
          <t>Closed Lost</t>
        </is>
      </c>
      <c r="E20" s="4" t="inlineStr">
        <is>
          <t>New Business</t>
        </is>
      </c>
      <c r="F20" s="13" t="n">
        <v>46305</v>
      </c>
      <c r="G20" s="4" t="n">
        <v>33000</v>
      </c>
      <c r="H20" s="4" t="inlineStr">
        <is>
          <t>USD</t>
        </is>
      </c>
      <c r="I20" s="4" t="n">
        <v>0</v>
      </c>
      <c r="J20" s="4" t="n"/>
      <c r="K20" s="4" t="inlineStr">
        <is>
          <t>No</t>
        </is>
      </c>
      <c r="L20" s="4" t="n"/>
      <c r="M20" s="4" t="n"/>
      <c r="N20" s="4" t="n"/>
      <c r="O20" s="14">
        <f>IF(AND(D20="Closed Won",F20&gt;=Inputs!$B$1,F20&lt;=Inputs!$B$2),G20*(1-N(M20)/100),0)</f>
        <v/>
      </c>
      <c r="P20" s="14">
        <f>IF(AND(D20="Closed Won",F20&gt;=Inputs!$B$1,F20&lt;=Inputs!$B$2),G20*N(M20)/100,0)</f>
        <v/>
      </c>
      <c r="Q20" s="13">
        <f>IF(H20="USD","",_xlfn.MAXIFS(FX!$A$2:$A$100,FX!$B$2:$B$100,H20,FX!$A$2:$A$100,"&lt;="&amp;F20))</f>
        <v/>
      </c>
      <c r="R20" s="15">
        <f>IF(H20="USD",1,SUMIFS(FX!$C$2:$C$100,FX!$A$2:$A$100,Q20,FX!$B$2:$B$100,H20))</f>
        <v/>
      </c>
      <c r="S20" s="14">
        <f>COUNTIF($A$2:A20,A20)=1</f>
        <v/>
      </c>
      <c r="T20" s="14">
        <f>IF(E20="Renewal",Inputs!$B$6,1)</f>
        <v/>
      </c>
      <c r="U20" s="14">
        <f>OR(N(I20)&lt;=Inputs!$B$9,J20&lt;&gt;"")</f>
        <v/>
      </c>
      <c r="V20" s="14">
        <f>IF(L20="",100,IF(N20="",100-M20,N20))</f>
        <v/>
      </c>
      <c r="W20" s="14">
        <f>V20+N(M20)=100</f>
        <v/>
      </c>
      <c r="X20" s="14">
        <f>AND(D20="Closed Won",F20&gt;=Inputs!$B$1,F20&lt;=Inputs!$B$2,S20,U20,W20)</f>
        <v/>
      </c>
      <c r="Y20" s="14">
        <f>IF(X20,G20*R20*T20,0)</f>
        <v/>
      </c>
      <c r="Z20" s="14">
        <f>Y20*V20/100</f>
        <v/>
      </c>
      <c r="AA20" s="14">
        <f>Y20*N(M20)/100</f>
        <v/>
      </c>
      <c r="AB20" s="14">
        <f>IF(AND(X20,K20="Yes",MONTH(F20)=11,Y20&gt;Inputs!$B$8),Inputs!$B$7,0)</f>
        <v/>
      </c>
    </row>
    <row r="21">
      <c r="A21" s="4" t="inlineStr">
        <is>
          <t>OPP-2065</t>
        </is>
      </c>
      <c r="B21" s="4" t="inlineStr">
        <is>
          <t>Ivers Logistics</t>
        </is>
      </c>
      <c r="C21" s="4" t="inlineStr">
        <is>
          <t>Dan Ortiz</t>
        </is>
      </c>
      <c r="D21" s="4" t="inlineStr">
        <is>
          <t>Closed Won</t>
        </is>
      </c>
      <c r="E21" s="4" t="inlineStr">
        <is>
          <t>New Business</t>
        </is>
      </c>
      <c r="F21" s="13" t="n">
        <v>46317</v>
      </c>
      <c r="G21" s="4" t="n">
        <v>30000</v>
      </c>
      <c r="H21" s="4" t="inlineStr">
        <is>
          <t>USD</t>
        </is>
      </c>
      <c r="I21" s="4" t="n">
        <v>0</v>
      </c>
      <c r="J21" s="4" t="n"/>
      <c r="K21" s="4" t="inlineStr">
        <is>
          <t>No</t>
        </is>
      </c>
      <c r="L21" s="4" t="n"/>
      <c r="M21" s="4" t="n"/>
      <c r="N21" s="4" t="n"/>
      <c r="O21" s="14">
        <f>IF(AND(D21="Closed Won",F21&gt;=Inputs!$B$1,F21&lt;=Inputs!$B$2),G21*(1-N(M21)/100),0)</f>
        <v/>
      </c>
      <c r="P21" s="14">
        <f>IF(AND(D21="Closed Won",F21&gt;=Inputs!$B$1,F21&lt;=Inputs!$B$2),G21*N(M21)/100,0)</f>
        <v/>
      </c>
      <c r="Q21" s="13">
        <f>IF(H21="USD","",_xlfn.MAXIFS(FX!$A$2:$A$100,FX!$B$2:$B$100,H21,FX!$A$2:$A$100,"&lt;="&amp;F21))</f>
        <v/>
      </c>
      <c r="R21" s="15">
        <f>IF(H21="USD",1,SUMIFS(FX!$C$2:$C$100,FX!$A$2:$A$100,Q21,FX!$B$2:$B$100,H21))</f>
        <v/>
      </c>
      <c r="S21" s="14">
        <f>COUNTIF($A$2:A21,A21)=1</f>
        <v/>
      </c>
      <c r="T21" s="14">
        <f>IF(E21="Renewal",Inputs!$B$6,1)</f>
        <v/>
      </c>
      <c r="U21" s="14">
        <f>OR(N(I21)&lt;=Inputs!$B$9,J21&lt;&gt;"")</f>
        <v/>
      </c>
      <c r="V21" s="14">
        <f>IF(L21="",100,IF(N21="",100-M21,N21))</f>
        <v/>
      </c>
      <c r="W21" s="14">
        <f>V21+N(M21)=100</f>
        <v/>
      </c>
      <c r="X21" s="14">
        <f>AND(D21="Closed Won",F21&gt;=Inputs!$B$1,F21&lt;=Inputs!$B$2,S21,U21,W21)</f>
        <v/>
      </c>
      <c r="Y21" s="14">
        <f>IF(X21,G21*R21*T21,0)</f>
        <v/>
      </c>
      <c r="Z21" s="14">
        <f>Y21*V21/100</f>
        <v/>
      </c>
      <c r="AA21" s="14">
        <f>Y21*N(M21)/100</f>
        <v/>
      </c>
      <c r="AB21" s="14">
        <f>IF(AND(X21,K21="Yes",MONTH(F21)=11,Y21&gt;Inputs!$B$8),Inputs!$B$7,0)</f>
        <v/>
      </c>
    </row>
    <row r="22">
      <c r="A22" s="4" t="inlineStr">
        <is>
          <t>OPP-2077</t>
        </is>
      </c>
      <c r="B22" s="4" t="inlineStr">
        <is>
          <t>Larchmont Freight</t>
        </is>
      </c>
      <c r="C22" s="4" t="inlineStr">
        <is>
          <t>Priya Shah</t>
        </is>
      </c>
      <c r="D22" s="4" t="inlineStr">
        <is>
          <t>Closed Lost</t>
        </is>
      </c>
      <c r="E22" s="4" t="inlineStr">
        <is>
          <t>New Business</t>
        </is>
      </c>
      <c r="F22" s="13" t="n">
        <v>46321</v>
      </c>
      <c r="G22" s="4" t="n">
        <v>50000</v>
      </c>
      <c r="H22" s="4" t="inlineStr">
        <is>
          <t>USD</t>
        </is>
      </c>
      <c r="I22" s="4" t="n">
        <v>0</v>
      </c>
      <c r="J22" s="4" t="n"/>
      <c r="K22" s="4" t="inlineStr">
        <is>
          <t>No</t>
        </is>
      </c>
      <c r="L22" s="4" t="n"/>
      <c r="M22" s="4" t="n"/>
      <c r="N22" s="4" t="n"/>
      <c r="O22" s="14">
        <f>IF(AND(D22="Closed Won",F22&gt;=Inputs!$B$1,F22&lt;=Inputs!$B$2),G22*(1-N(M22)/100),0)</f>
        <v/>
      </c>
      <c r="P22" s="14">
        <f>IF(AND(D22="Closed Won",F22&gt;=Inputs!$B$1,F22&lt;=Inputs!$B$2),G22*N(M22)/100,0)</f>
        <v/>
      </c>
      <c r="Q22" s="13">
        <f>IF(H22="USD","",_xlfn.MAXIFS(FX!$A$2:$A$100,FX!$B$2:$B$100,H22,FX!$A$2:$A$100,"&lt;="&amp;F22))</f>
        <v/>
      </c>
      <c r="R22" s="15">
        <f>IF(H22="USD",1,SUMIFS(FX!$C$2:$C$100,FX!$A$2:$A$100,Q22,FX!$B$2:$B$100,H22))</f>
        <v/>
      </c>
      <c r="S22" s="14">
        <f>COUNTIF($A$2:A22,A22)=1</f>
        <v/>
      </c>
      <c r="T22" s="14">
        <f>IF(E22="Renewal",Inputs!$B$6,1)</f>
        <v/>
      </c>
      <c r="U22" s="14">
        <f>OR(N(I22)&lt;=Inputs!$B$9,J22&lt;&gt;"")</f>
        <v/>
      </c>
      <c r="V22" s="14">
        <f>IF(L22="",100,IF(N22="",100-M22,N22))</f>
        <v/>
      </c>
      <c r="W22" s="14">
        <f>V22+N(M22)=100</f>
        <v/>
      </c>
      <c r="X22" s="14">
        <f>AND(D22="Closed Won",F22&gt;=Inputs!$B$1,F22&lt;=Inputs!$B$2,S22,U22,W22)</f>
        <v/>
      </c>
      <c r="Y22" s="14">
        <f>IF(X22,G22*R22*T22,0)</f>
        <v/>
      </c>
      <c r="Z22" s="14">
        <f>Y22*V22/100</f>
        <v/>
      </c>
      <c r="AA22" s="14">
        <f>Y22*N(M22)/100</f>
        <v/>
      </c>
      <c r="AB22" s="14">
        <f>IF(AND(X22,K22="Yes",MONTH(F22)=11,Y22&gt;Inputs!$B$8),Inputs!$B$7,0)</f>
        <v/>
      </c>
    </row>
    <row r="23">
      <c r="A23" s="4" t="inlineStr">
        <is>
          <t>OPP-2079</t>
        </is>
      </c>
      <c r="B23" s="4" t="inlineStr">
        <is>
          <t>Bell Supply</t>
        </is>
      </c>
      <c r="C23" s="4" t="inlineStr">
        <is>
          <t>Tyler Brooks</t>
        </is>
      </c>
      <c r="D23" s="4" t="inlineStr">
        <is>
          <t>Closed Lost</t>
        </is>
      </c>
      <c r="E23" s="4" t="inlineStr">
        <is>
          <t>New Business</t>
        </is>
      </c>
      <c r="F23" s="13" t="n">
        <v>46382</v>
      </c>
      <c r="G23" s="4" t="n">
        <v>45000</v>
      </c>
      <c r="H23" s="4" t="inlineStr">
        <is>
          <t>USD</t>
        </is>
      </c>
      <c r="I23" s="4" t="n">
        <v>0</v>
      </c>
      <c r="J23" s="4" t="n"/>
      <c r="K23" s="4" t="inlineStr">
        <is>
          <t>No</t>
        </is>
      </c>
      <c r="L23" s="4" t="n"/>
      <c r="M23" s="4" t="n"/>
      <c r="N23" s="4" t="n"/>
      <c r="O23" s="14">
        <f>IF(AND(D23="Closed Won",F23&gt;=Inputs!$B$1,F23&lt;=Inputs!$B$2),G23*(1-N(M23)/100),0)</f>
        <v/>
      </c>
      <c r="P23" s="14">
        <f>IF(AND(D23="Closed Won",F23&gt;=Inputs!$B$1,F23&lt;=Inputs!$B$2),G23*N(M23)/100,0)</f>
        <v/>
      </c>
      <c r="Q23" s="13">
        <f>IF(H23="USD","",_xlfn.MAXIFS(FX!$A$2:$A$100,FX!$B$2:$B$100,H23,FX!$A$2:$A$100,"&lt;="&amp;F23))</f>
        <v/>
      </c>
      <c r="R23" s="15">
        <f>IF(H23="USD",1,SUMIFS(FX!$C$2:$C$100,FX!$A$2:$A$100,Q23,FX!$B$2:$B$100,H23))</f>
        <v/>
      </c>
      <c r="S23" s="14">
        <f>COUNTIF($A$2:A23,A23)=1</f>
        <v/>
      </c>
      <c r="T23" s="14">
        <f>IF(E23="Renewal",Inputs!$B$6,1)</f>
        <v/>
      </c>
      <c r="U23" s="14">
        <f>OR(N(I23)&lt;=Inputs!$B$9,J23&lt;&gt;"")</f>
        <v/>
      </c>
      <c r="V23" s="14">
        <f>IF(L23="",100,IF(N23="",100-M23,N23))</f>
        <v/>
      </c>
      <c r="W23" s="14">
        <f>V23+N(M23)=100</f>
        <v/>
      </c>
      <c r="X23" s="14">
        <f>AND(D23="Closed Won",F23&gt;=Inputs!$B$1,F23&lt;=Inputs!$B$2,S23,U23,W23)</f>
        <v/>
      </c>
      <c r="Y23" s="14">
        <f>IF(X23,G23*R23*T23,0)</f>
        <v/>
      </c>
      <c r="Z23" s="14">
        <f>Y23*V23/100</f>
        <v/>
      </c>
      <c r="AA23" s="14">
        <f>Y23*N(M23)/100</f>
        <v/>
      </c>
      <c r="AB23" s="14">
        <f>IF(AND(X23,K23="Yes",MONTH(F23)=11,Y23&gt;Inputs!$B$8),Inputs!$B$7,0)</f>
        <v/>
      </c>
    </row>
    <row r="24">
      <c r="A24" s="4" t="inlineStr">
        <is>
          <t>OPP-2034</t>
        </is>
      </c>
      <c r="B24" s="4" t="inlineStr">
        <is>
          <t>Kessel Dental</t>
        </is>
      </c>
      <c r="C24" s="4" t="inlineStr">
        <is>
          <t>Sarah Chen</t>
        </is>
      </c>
      <c r="D24" s="4" t="inlineStr">
        <is>
          <t>Closed Won</t>
        </is>
      </c>
      <c r="E24" s="4" t="inlineStr">
        <is>
          <t>New Business</t>
        </is>
      </c>
      <c r="F24" s="13" t="n">
        <v>46384</v>
      </c>
      <c r="G24" s="4" t="n">
        <v>19000</v>
      </c>
      <c r="H24" s="4" t="inlineStr">
        <is>
          <t>USD</t>
        </is>
      </c>
      <c r="I24" s="4" t="n">
        <v>0</v>
      </c>
      <c r="J24" s="4" t="n"/>
      <c r="K24" s="4" t="inlineStr">
        <is>
          <t>No</t>
        </is>
      </c>
      <c r="L24" s="4" t="n"/>
      <c r="M24" s="4" t="n"/>
      <c r="N24" s="4" t="n"/>
      <c r="O24" s="14">
        <f>IF(AND(D24="Closed Won",F24&gt;=Inputs!$B$1,F24&lt;=Inputs!$B$2),G24*(1-N(M24)/100),0)</f>
        <v/>
      </c>
      <c r="P24" s="14">
        <f>IF(AND(D24="Closed Won",F24&gt;=Inputs!$B$1,F24&lt;=Inputs!$B$2),G24*N(M24)/100,0)</f>
        <v/>
      </c>
      <c r="Q24" s="13">
        <f>IF(H24="USD","",_xlfn.MAXIFS(FX!$A$2:$A$100,FX!$B$2:$B$100,H24,FX!$A$2:$A$100,"&lt;="&amp;F24))</f>
        <v/>
      </c>
      <c r="R24" s="15">
        <f>IF(H24="USD",1,SUMIFS(FX!$C$2:$C$100,FX!$A$2:$A$100,Q24,FX!$B$2:$B$100,H24))</f>
        <v/>
      </c>
      <c r="S24" s="14">
        <f>COUNTIF($A$2:A24,A24)=1</f>
        <v/>
      </c>
      <c r="T24" s="14">
        <f>IF(E24="Renewal",Inputs!$B$6,1)</f>
        <v/>
      </c>
      <c r="U24" s="14">
        <f>OR(N(I24)&lt;=Inputs!$B$9,J24&lt;&gt;"")</f>
        <v/>
      </c>
      <c r="V24" s="14">
        <f>IF(L24="",100,IF(N24="",100-M24,N24))</f>
        <v/>
      </c>
      <c r="W24" s="14">
        <f>V24+N(M24)=100</f>
        <v/>
      </c>
      <c r="X24" s="14">
        <f>AND(D24="Closed Won",F24&gt;=Inputs!$B$1,F24&lt;=Inputs!$B$2,S24,U24,W24)</f>
        <v/>
      </c>
      <c r="Y24" s="14">
        <f>IF(X24,G24*R24*T24,0)</f>
        <v/>
      </c>
      <c r="Z24" s="14">
        <f>Y24*V24/100</f>
        <v/>
      </c>
      <c r="AA24" s="14">
        <f>Y24*N(M24)/100</f>
        <v/>
      </c>
      <c r="AB24" s="14">
        <f>IF(AND(X24,K24="Yes",MONTH(F24)=11,Y24&gt;Inputs!$B$8),Inputs!$B$7,0)</f>
        <v/>
      </c>
    </row>
    <row r="25">
      <c r="A25" s="4" t="inlineStr">
        <is>
          <t>OPP-2043</t>
        </is>
      </c>
      <c r="B25" s="4" t="inlineStr">
        <is>
          <t>Kestrel Foods</t>
        </is>
      </c>
      <c r="C25" s="4" t="inlineStr">
        <is>
          <t>Marcus Reed</t>
        </is>
      </c>
      <c r="D25" s="4" t="inlineStr">
        <is>
          <t>Closed Won</t>
        </is>
      </c>
      <c r="E25" s="4" t="inlineStr">
        <is>
          <t>Expansion</t>
        </is>
      </c>
      <c r="F25" s="13" t="n">
        <v>46365</v>
      </c>
      <c r="G25" s="4" t="n">
        <v>22500</v>
      </c>
      <c r="H25" s="4" t="inlineStr">
        <is>
          <t>USD</t>
        </is>
      </c>
      <c r="I25" s="4" t="n">
        <v>0</v>
      </c>
      <c r="J25" s="4" t="n"/>
      <c r="K25" s="4" t="inlineStr">
        <is>
          <t>No</t>
        </is>
      </c>
      <c r="L25" s="4" t="n"/>
      <c r="M25" s="4" t="n"/>
      <c r="N25" s="4" t="n"/>
      <c r="O25" s="14">
        <f>IF(AND(D25="Closed Won",F25&gt;=Inputs!$B$1,F25&lt;=Inputs!$B$2),G25*(1-N(M25)/100),0)</f>
        <v/>
      </c>
      <c r="P25" s="14">
        <f>IF(AND(D25="Closed Won",F25&gt;=Inputs!$B$1,F25&lt;=Inputs!$B$2),G25*N(M25)/100,0)</f>
        <v/>
      </c>
      <c r="Q25" s="13">
        <f>IF(H25="USD","",_xlfn.MAXIFS(FX!$A$2:$A$100,FX!$B$2:$B$100,H25,FX!$A$2:$A$100,"&lt;="&amp;F25))</f>
        <v/>
      </c>
      <c r="R25" s="15">
        <f>IF(H25="USD",1,SUMIFS(FX!$C$2:$C$100,FX!$A$2:$A$100,Q25,FX!$B$2:$B$100,H25))</f>
        <v/>
      </c>
      <c r="S25" s="14">
        <f>COUNTIF($A$2:A25,A25)=1</f>
        <v/>
      </c>
      <c r="T25" s="14">
        <f>IF(E25="Renewal",Inputs!$B$6,1)</f>
        <v/>
      </c>
      <c r="U25" s="14">
        <f>OR(N(I25)&lt;=Inputs!$B$9,J25&lt;&gt;"")</f>
        <v/>
      </c>
      <c r="V25" s="14">
        <f>IF(L25="",100,IF(N25="",100-M25,N25))</f>
        <v/>
      </c>
      <c r="W25" s="14">
        <f>V25+N(M25)=100</f>
        <v/>
      </c>
      <c r="X25" s="14">
        <f>AND(D25="Closed Won",F25&gt;=Inputs!$B$1,F25&lt;=Inputs!$B$2,S25,U25,W25)</f>
        <v/>
      </c>
      <c r="Y25" s="14">
        <f>IF(X25,G25*R25*T25,0)</f>
        <v/>
      </c>
      <c r="Z25" s="14">
        <f>Y25*V25/100</f>
        <v/>
      </c>
      <c r="AA25" s="14">
        <f>Y25*N(M25)/100</f>
        <v/>
      </c>
      <c r="AB25" s="14">
        <f>IF(AND(X25,K25="Yes",MONTH(F25)=11,Y25&gt;Inputs!$B$8),Inputs!$B$7,0)</f>
        <v/>
      </c>
    </row>
    <row r="26">
      <c r="A26" s="4" t="inlineStr">
        <is>
          <t>OPP-2050</t>
        </is>
      </c>
      <c r="B26" s="4" t="inlineStr">
        <is>
          <t>Quill Foods</t>
        </is>
      </c>
      <c r="C26" s="4" t="inlineStr">
        <is>
          <t>Marcus Reed</t>
        </is>
      </c>
      <c r="D26" s="4" t="inlineStr">
        <is>
          <t>Closed Won</t>
        </is>
      </c>
      <c r="E26" s="4" t="inlineStr">
        <is>
          <t>Renewal</t>
        </is>
      </c>
      <c r="F26" s="13" t="n">
        <v>46313</v>
      </c>
      <c r="G26" s="4" t="n">
        <v>26000</v>
      </c>
      <c r="H26" s="4" t="inlineStr">
        <is>
          <t>USD</t>
        </is>
      </c>
      <c r="I26" s="4" t="n">
        <v>15</v>
      </c>
      <c r="J26" s="4" t="n"/>
      <c r="K26" s="4" t="inlineStr">
        <is>
          <t>No</t>
        </is>
      </c>
      <c r="L26" s="4" t="n"/>
      <c r="M26" s="4" t="n"/>
      <c r="N26" s="4" t="n"/>
      <c r="O26" s="14">
        <f>IF(AND(D26="Closed Won",F26&gt;=Inputs!$B$1,F26&lt;=Inputs!$B$2),G26*(1-N(M26)/100),0)</f>
        <v/>
      </c>
      <c r="P26" s="14">
        <f>IF(AND(D26="Closed Won",F26&gt;=Inputs!$B$1,F26&lt;=Inputs!$B$2),G26*N(M26)/100,0)</f>
        <v/>
      </c>
      <c r="Q26" s="13">
        <f>IF(H26="USD","",_xlfn.MAXIFS(FX!$A$2:$A$100,FX!$B$2:$B$100,H26,FX!$A$2:$A$100,"&lt;="&amp;F26))</f>
        <v/>
      </c>
      <c r="R26" s="15">
        <f>IF(H26="USD",1,SUMIFS(FX!$C$2:$C$100,FX!$A$2:$A$100,Q26,FX!$B$2:$B$100,H26))</f>
        <v/>
      </c>
      <c r="S26" s="14">
        <f>COUNTIF($A$2:A26,A26)=1</f>
        <v/>
      </c>
      <c r="T26" s="14">
        <f>IF(E26="Renewal",Inputs!$B$6,1)</f>
        <v/>
      </c>
      <c r="U26" s="14">
        <f>OR(N(I26)&lt;=Inputs!$B$9,J26&lt;&gt;"")</f>
        <v/>
      </c>
      <c r="V26" s="14">
        <f>IF(L26="",100,IF(N26="",100-M26,N26))</f>
        <v/>
      </c>
      <c r="W26" s="14">
        <f>V26+N(M26)=100</f>
        <v/>
      </c>
      <c r="X26" s="14">
        <f>AND(D26="Closed Won",F26&gt;=Inputs!$B$1,F26&lt;=Inputs!$B$2,S26,U26,W26)</f>
        <v/>
      </c>
      <c r="Y26" s="14">
        <f>IF(X26,G26*R26*T26,0)</f>
        <v/>
      </c>
      <c r="Z26" s="14">
        <f>Y26*V26/100</f>
        <v/>
      </c>
      <c r="AA26" s="14">
        <f>Y26*N(M26)/100</f>
        <v/>
      </c>
      <c r="AB26" s="14">
        <f>IF(AND(X26,K26="Yes",MONTH(F26)=11,Y26&gt;Inputs!$B$8),Inputs!$B$7,0)</f>
        <v/>
      </c>
    </row>
    <row r="27">
      <c r="A27" s="4" t="inlineStr">
        <is>
          <t>OPP-2085</t>
        </is>
      </c>
      <c r="B27" s="4" t="inlineStr">
        <is>
          <t>Tamber Supply</t>
        </is>
      </c>
      <c r="C27" s="4" t="inlineStr">
        <is>
          <t>Ana Lima</t>
        </is>
      </c>
      <c r="D27" s="4" t="inlineStr">
        <is>
          <t>Proposal</t>
        </is>
      </c>
      <c r="E27" s="4" t="inlineStr">
        <is>
          <t>New Business</t>
        </is>
      </c>
      <c r="F27" s="13" t="n">
        <v>46356</v>
      </c>
      <c r="G27" s="4" t="n">
        <v>62000</v>
      </c>
      <c r="H27" s="4" t="inlineStr">
        <is>
          <t>USD</t>
        </is>
      </c>
      <c r="I27" s="4" t="n">
        <v>0</v>
      </c>
      <c r="J27" s="4" t="n"/>
      <c r="K27" s="4" t="inlineStr">
        <is>
          <t>No</t>
        </is>
      </c>
      <c r="L27" s="4" t="n"/>
      <c r="M27" s="4" t="n"/>
      <c r="N27" s="4" t="n"/>
      <c r="O27" s="14">
        <f>IF(AND(D27="Closed Won",F27&gt;=Inputs!$B$1,F27&lt;=Inputs!$B$2),G27*(1-N(M27)/100),0)</f>
        <v/>
      </c>
      <c r="P27" s="14">
        <f>IF(AND(D27="Closed Won",F27&gt;=Inputs!$B$1,F27&lt;=Inputs!$B$2),G27*N(M27)/100,0)</f>
        <v/>
      </c>
      <c r="Q27" s="13">
        <f>IF(H27="USD","",_xlfn.MAXIFS(FX!$A$2:$A$100,FX!$B$2:$B$100,H27,FX!$A$2:$A$100,"&lt;="&amp;F27))</f>
        <v/>
      </c>
      <c r="R27" s="15">
        <f>IF(H27="USD",1,SUMIFS(FX!$C$2:$C$100,FX!$A$2:$A$100,Q27,FX!$B$2:$B$100,H27))</f>
        <v/>
      </c>
      <c r="S27" s="14">
        <f>COUNTIF($A$2:A27,A27)=1</f>
        <v/>
      </c>
      <c r="T27" s="14">
        <f>IF(E27="Renewal",Inputs!$B$6,1)</f>
        <v/>
      </c>
      <c r="U27" s="14">
        <f>OR(N(I27)&lt;=Inputs!$B$9,J27&lt;&gt;"")</f>
        <v/>
      </c>
      <c r="V27" s="14">
        <f>IF(L27="",100,IF(N27="",100-M27,N27))</f>
        <v/>
      </c>
      <c r="W27" s="14">
        <f>V27+N(M27)=100</f>
        <v/>
      </c>
      <c r="X27" s="14">
        <f>AND(D27="Closed Won",F27&gt;=Inputs!$B$1,F27&lt;=Inputs!$B$2,S27,U27,W27)</f>
        <v/>
      </c>
      <c r="Y27" s="14">
        <f>IF(X27,G27*R27*T27,0)</f>
        <v/>
      </c>
      <c r="Z27" s="14">
        <f>Y27*V27/100</f>
        <v/>
      </c>
      <c r="AA27" s="14">
        <f>Y27*N(M27)/100</f>
        <v/>
      </c>
      <c r="AB27" s="14">
        <f>IF(AND(X27,K27="Yes",MONTH(F27)=11,Y27&gt;Inputs!$B$8),Inputs!$B$7,0)</f>
        <v/>
      </c>
    </row>
    <row r="28">
      <c r="A28" s="4" t="inlineStr">
        <is>
          <t>OPP-2002</t>
        </is>
      </c>
      <c r="B28" s="4" t="inlineStr">
        <is>
          <t>Bell Health</t>
        </is>
      </c>
      <c r="C28" s="4" t="inlineStr">
        <is>
          <t>Priya Shah</t>
        </is>
      </c>
      <c r="D28" s="4" t="inlineStr">
        <is>
          <t>Closed Won</t>
        </is>
      </c>
      <c r="E28" s="4" t="inlineStr">
        <is>
          <t>Expansion</t>
        </is>
      </c>
      <c r="F28" s="13" t="n">
        <v>46313</v>
      </c>
      <c r="G28" s="4" t="n">
        <v>25500</v>
      </c>
      <c r="H28" s="4" t="inlineStr">
        <is>
          <t>USD</t>
        </is>
      </c>
      <c r="I28" s="4" t="n">
        <v>0</v>
      </c>
      <c r="J28" s="4" t="n"/>
      <c r="K28" s="4" t="inlineStr">
        <is>
          <t>No</t>
        </is>
      </c>
      <c r="L28" s="4" t="n"/>
      <c r="M28" s="4" t="n"/>
      <c r="N28" s="4" t="n"/>
      <c r="O28" s="14">
        <f>IF(AND(D28="Closed Won",F28&gt;=Inputs!$B$1,F28&lt;=Inputs!$B$2),G28*(1-N(M28)/100),0)</f>
        <v/>
      </c>
      <c r="P28" s="14">
        <f>IF(AND(D28="Closed Won",F28&gt;=Inputs!$B$1,F28&lt;=Inputs!$B$2),G28*N(M28)/100,0)</f>
        <v/>
      </c>
      <c r="Q28" s="13">
        <f>IF(H28="USD","",_xlfn.MAXIFS(FX!$A$2:$A$100,FX!$B$2:$B$100,H28,FX!$A$2:$A$100,"&lt;="&amp;F28))</f>
        <v/>
      </c>
      <c r="R28" s="15">
        <f>IF(H28="USD",1,SUMIFS(FX!$C$2:$C$100,FX!$A$2:$A$100,Q28,FX!$B$2:$B$100,H28))</f>
        <v/>
      </c>
      <c r="S28" s="14">
        <f>COUNTIF($A$2:A28,A28)=1</f>
        <v/>
      </c>
      <c r="T28" s="14">
        <f>IF(E28="Renewal",Inputs!$B$6,1)</f>
        <v/>
      </c>
      <c r="U28" s="14">
        <f>OR(N(I28)&lt;=Inputs!$B$9,J28&lt;&gt;"")</f>
        <v/>
      </c>
      <c r="V28" s="14">
        <f>IF(L28="",100,IF(N28="",100-M28,N28))</f>
        <v/>
      </c>
      <c r="W28" s="14">
        <f>V28+N(M28)=100</f>
        <v/>
      </c>
      <c r="X28" s="14">
        <f>AND(D28="Closed Won",F28&gt;=Inputs!$B$1,F28&lt;=Inputs!$B$2,S28,U28,W28)</f>
        <v/>
      </c>
      <c r="Y28" s="14">
        <f>IF(X28,G28*R28*T28,0)</f>
        <v/>
      </c>
      <c r="Z28" s="14">
        <f>Y28*V28/100</f>
        <v/>
      </c>
      <c r="AA28" s="14">
        <f>Y28*N(M28)/100</f>
        <v/>
      </c>
      <c r="AB28" s="14">
        <f>IF(AND(X28,K28="Yes",MONTH(F28)=11,Y28&gt;Inputs!$B$8),Inputs!$B$7,0)</f>
        <v/>
      </c>
    </row>
    <row r="29">
      <c r="A29" s="4" t="inlineStr">
        <is>
          <t>OPP-2052</t>
        </is>
      </c>
      <c r="B29" s="4" t="inlineStr">
        <is>
          <t>Larchmont Dental</t>
        </is>
      </c>
      <c r="C29" s="4" t="inlineStr">
        <is>
          <t>Marcus Reed</t>
        </is>
      </c>
      <c r="D29" s="4" t="inlineStr">
        <is>
          <t>Closed Won</t>
        </is>
      </c>
      <c r="E29" s="4" t="inlineStr">
        <is>
          <t>Renewal</t>
        </is>
      </c>
      <c r="F29" s="13" t="n">
        <v>46348</v>
      </c>
      <c r="G29" s="4" t="n">
        <v>35000</v>
      </c>
      <c r="H29" s="4" t="inlineStr">
        <is>
          <t>USD</t>
        </is>
      </c>
      <c r="I29" s="4" t="n">
        <v>10</v>
      </c>
      <c r="J29" s="4" t="n"/>
      <c r="K29" s="4" t="inlineStr">
        <is>
          <t>No</t>
        </is>
      </c>
      <c r="L29" s="4" t="n"/>
      <c r="M29" s="4" t="n"/>
      <c r="N29" s="4" t="n"/>
      <c r="O29" s="14">
        <f>IF(AND(D29="Closed Won",F29&gt;=Inputs!$B$1,F29&lt;=Inputs!$B$2),G29*(1-N(M29)/100),0)</f>
        <v/>
      </c>
      <c r="P29" s="14">
        <f>IF(AND(D29="Closed Won",F29&gt;=Inputs!$B$1,F29&lt;=Inputs!$B$2),G29*N(M29)/100,0)</f>
        <v/>
      </c>
      <c r="Q29" s="13">
        <f>IF(H29="USD","",_xlfn.MAXIFS(FX!$A$2:$A$100,FX!$B$2:$B$100,H29,FX!$A$2:$A$100,"&lt;="&amp;F29))</f>
        <v/>
      </c>
      <c r="R29" s="15">
        <f>IF(H29="USD",1,SUMIFS(FX!$C$2:$C$100,FX!$A$2:$A$100,Q29,FX!$B$2:$B$100,H29))</f>
        <v/>
      </c>
      <c r="S29" s="14">
        <f>COUNTIF($A$2:A29,A29)=1</f>
        <v/>
      </c>
      <c r="T29" s="14">
        <f>IF(E29="Renewal",Inputs!$B$6,1)</f>
        <v/>
      </c>
      <c r="U29" s="14">
        <f>OR(N(I29)&lt;=Inputs!$B$9,J29&lt;&gt;"")</f>
        <v/>
      </c>
      <c r="V29" s="14">
        <f>IF(L29="",100,IF(N29="",100-M29,N29))</f>
        <v/>
      </c>
      <c r="W29" s="14">
        <f>V29+N(M29)=100</f>
        <v/>
      </c>
      <c r="X29" s="14">
        <f>AND(D29="Closed Won",F29&gt;=Inputs!$B$1,F29&lt;=Inputs!$B$2,S29,U29,W29)</f>
        <v/>
      </c>
      <c r="Y29" s="14">
        <f>IF(X29,G29*R29*T29,0)</f>
        <v/>
      </c>
      <c r="Z29" s="14">
        <f>Y29*V29/100</f>
        <v/>
      </c>
      <c r="AA29" s="14">
        <f>Y29*N(M29)/100</f>
        <v/>
      </c>
      <c r="AB29" s="14">
        <f>IF(AND(X29,K29="Yes",MONTH(F29)=11,Y29&gt;Inputs!$B$8),Inputs!$B$7,0)</f>
        <v/>
      </c>
    </row>
    <row r="30">
      <c r="A30" s="4" t="inlineStr">
        <is>
          <t>OPP-2062</t>
        </is>
      </c>
      <c r="B30" s="4" t="inlineStr">
        <is>
          <t>Dunmore Energy</t>
        </is>
      </c>
      <c r="C30" s="4" t="inlineStr">
        <is>
          <t>Dan Ortiz</t>
        </is>
      </c>
      <c r="D30" s="4" t="inlineStr">
        <is>
          <t>Closed Won</t>
        </is>
      </c>
      <c r="E30" s="4" t="inlineStr">
        <is>
          <t>New Business</t>
        </is>
      </c>
      <c r="F30" s="13" t="n">
        <v>46296</v>
      </c>
      <c r="G30" s="4" t="n">
        <v>16500</v>
      </c>
      <c r="H30" s="4" t="inlineStr">
        <is>
          <t>USD</t>
        </is>
      </c>
      <c r="I30" s="4" t="n">
        <v>15</v>
      </c>
      <c r="J30" s="4" t="n"/>
      <c r="K30" s="4" t="inlineStr">
        <is>
          <t>No</t>
        </is>
      </c>
      <c r="L30" s="4" t="n"/>
      <c r="M30" s="4" t="n"/>
      <c r="N30" s="4" t="n"/>
      <c r="O30" s="14">
        <f>IF(AND(D30="Closed Won",F30&gt;=Inputs!$B$1,F30&lt;=Inputs!$B$2),G30*(1-N(M30)/100),0)</f>
        <v/>
      </c>
      <c r="P30" s="14">
        <f>IF(AND(D30="Closed Won",F30&gt;=Inputs!$B$1,F30&lt;=Inputs!$B$2),G30*N(M30)/100,0)</f>
        <v/>
      </c>
      <c r="Q30" s="13">
        <f>IF(H30="USD","",_xlfn.MAXIFS(FX!$A$2:$A$100,FX!$B$2:$B$100,H30,FX!$A$2:$A$100,"&lt;="&amp;F30))</f>
        <v/>
      </c>
      <c r="R30" s="15">
        <f>IF(H30="USD",1,SUMIFS(FX!$C$2:$C$100,FX!$A$2:$A$100,Q30,FX!$B$2:$B$100,H30))</f>
        <v/>
      </c>
      <c r="S30" s="14">
        <f>COUNTIF($A$2:A30,A30)=1</f>
        <v/>
      </c>
      <c r="T30" s="14">
        <f>IF(E30="Renewal",Inputs!$B$6,1)</f>
        <v/>
      </c>
      <c r="U30" s="14">
        <f>OR(N(I30)&lt;=Inputs!$B$9,J30&lt;&gt;"")</f>
        <v/>
      </c>
      <c r="V30" s="14">
        <f>IF(L30="",100,IF(N30="",100-M30,N30))</f>
        <v/>
      </c>
      <c r="W30" s="14">
        <f>V30+N(M30)=100</f>
        <v/>
      </c>
      <c r="X30" s="14">
        <f>AND(D30="Closed Won",F30&gt;=Inputs!$B$1,F30&lt;=Inputs!$B$2,S30,U30,W30)</f>
        <v/>
      </c>
      <c r="Y30" s="14">
        <f>IF(X30,G30*R30*T30,0)</f>
        <v/>
      </c>
      <c r="Z30" s="14">
        <f>Y30*V30/100</f>
        <v/>
      </c>
      <c r="AA30" s="14">
        <f>Y30*N(M30)/100</f>
        <v/>
      </c>
      <c r="AB30" s="14">
        <f>IF(AND(X30,K30="Yes",MONTH(F30)=11,Y30&gt;Inputs!$B$8),Inputs!$B$7,0)</f>
        <v/>
      </c>
    </row>
    <row r="31">
      <c r="A31" s="4" t="inlineStr">
        <is>
          <t>OPP-2060</t>
        </is>
      </c>
      <c r="B31" s="4" t="inlineStr">
        <is>
          <t>Quill Builders</t>
        </is>
      </c>
      <c r="C31" s="4" t="inlineStr">
        <is>
          <t>Dan Ortiz</t>
        </is>
      </c>
      <c r="D31" s="4" t="inlineStr">
        <is>
          <t>Closed Won</t>
        </is>
      </c>
      <c r="E31" s="4" t="inlineStr">
        <is>
          <t>Renewal</t>
        </is>
      </c>
      <c r="F31" s="13" t="n">
        <v>46304</v>
      </c>
      <c r="G31" s="4" t="n">
        <v>17000</v>
      </c>
      <c r="H31" s="4" t="inlineStr">
        <is>
          <t>USD</t>
        </is>
      </c>
      <c r="I31" s="4" t="n">
        <v>0</v>
      </c>
      <c r="J31" s="4" t="n"/>
      <c r="K31" s="4" t="inlineStr">
        <is>
          <t>No</t>
        </is>
      </c>
      <c r="L31" s="4" t="n"/>
      <c r="M31" s="4" t="n"/>
      <c r="N31" s="4" t="n"/>
      <c r="O31" s="14">
        <f>IF(AND(D31="Closed Won",F31&gt;=Inputs!$B$1,F31&lt;=Inputs!$B$2),G31*(1-N(M31)/100),0)</f>
        <v/>
      </c>
      <c r="P31" s="14">
        <f>IF(AND(D31="Closed Won",F31&gt;=Inputs!$B$1,F31&lt;=Inputs!$B$2),G31*N(M31)/100,0)</f>
        <v/>
      </c>
      <c r="Q31" s="13">
        <f>IF(H31="USD","",_xlfn.MAXIFS(FX!$A$2:$A$100,FX!$B$2:$B$100,H31,FX!$A$2:$A$100,"&lt;="&amp;F31))</f>
        <v/>
      </c>
      <c r="R31" s="15">
        <f>IF(H31="USD",1,SUMIFS(FX!$C$2:$C$100,FX!$A$2:$A$100,Q31,FX!$B$2:$B$100,H31))</f>
        <v/>
      </c>
      <c r="S31" s="14">
        <f>COUNTIF($A$2:A31,A31)=1</f>
        <v/>
      </c>
      <c r="T31" s="14">
        <f>IF(E31="Renewal",Inputs!$B$6,1)</f>
        <v/>
      </c>
      <c r="U31" s="14">
        <f>OR(N(I31)&lt;=Inputs!$B$9,J31&lt;&gt;"")</f>
        <v/>
      </c>
      <c r="V31" s="14">
        <f>IF(L31="",100,IF(N31="",100-M31,N31))</f>
        <v/>
      </c>
      <c r="W31" s="14">
        <f>V31+N(M31)=100</f>
        <v/>
      </c>
      <c r="X31" s="14">
        <f>AND(D31="Closed Won",F31&gt;=Inputs!$B$1,F31&lt;=Inputs!$B$2,S31,U31,W31)</f>
        <v/>
      </c>
      <c r="Y31" s="14">
        <f>IF(X31,G31*R31*T31,0)</f>
        <v/>
      </c>
      <c r="Z31" s="14">
        <f>Y31*V31/100</f>
        <v/>
      </c>
      <c r="AA31" s="14">
        <f>Y31*N(M31)/100</f>
        <v/>
      </c>
      <c r="AB31" s="14">
        <f>IF(AND(X31,K31="Yes",MONTH(F31)=11,Y31&gt;Inputs!$B$8),Inputs!$B$7,0)</f>
        <v/>
      </c>
    </row>
    <row r="32">
      <c r="A32" s="4" t="inlineStr">
        <is>
          <t>OPP-2040</t>
        </is>
      </c>
      <c r="B32" s="4" t="inlineStr">
        <is>
          <t>Tamber Retail</t>
        </is>
      </c>
      <c r="C32" s="4" t="inlineStr">
        <is>
          <t>Sarah Chen</t>
        </is>
      </c>
      <c r="D32" s="4" t="inlineStr">
        <is>
          <t>Closed Won</t>
        </is>
      </c>
      <c r="E32" s="4" t="inlineStr">
        <is>
          <t>New Business</t>
        </is>
      </c>
      <c r="F32" s="13" t="n">
        <v>46350</v>
      </c>
      <c r="G32" s="4" t="n">
        <v>80000</v>
      </c>
      <c r="H32" s="4" t="inlineStr">
        <is>
          <t>USD</t>
        </is>
      </c>
      <c r="I32" s="4" t="n">
        <v>0</v>
      </c>
      <c r="J32" s="4" t="n"/>
      <c r="K32" s="4" t="inlineStr">
        <is>
          <t>No</t>
        </is>
      </c>
      <c r="L32" s="4" t="inlineStr">
        <is>
          <t>Marcus Reed</t>
        </is>
      </c>
      <c r="M32" s="4" t="n">
        <v>40</v>
      </c>
      <c r="N32" s="4" t="n">
        <v>70</v>
      </c>
      <c r="O32" s="14">
        <f>IF(AND(D32="Closed Won",F32&gt;=Inputs!$B$1,F32&lt;=Inputs!$B$2),G32*(1-N(M32)/100),0)</f>
        <v/>
      </c>
      <c r="P32" s="14">
        <f>IF(AND(D32="Closed Won",F32&gt;=Inputs!$B$1,F32&lt;=Inputs!$B$2),G32*N(M32)/100,0)</f>
        <v/>
      </c>
      <c r="Q32" s="13">
        <f>IF(H32="USD","",_xlfn.MAXIFS(FX!$A$2:$A$100,FX!$B$2:$B$100,H32,FX!$A$2:$A$100,"&lt;="&amp;F32))</f>
        <v/>
      </c>
      <c r="R32" s="15">
        <f>IF(H32="USD",1,SUMIFS(FX!$C$2:$C$100,FX!$A$2:$A$100,Q32,FX!$B$2:$B$100,H32))</f>
        <v/>
      </c>
      <c r="S32" s="14">
        <f>COUNTIF($A$2:A32,A32)=1</f>
        <v/>
      </c>
      <c r="T32" s="14">
        <f>IF(E32="Renewal",Inputs!$B$6,1)</f>
        <v/>
      </c>
      <c r="U32" s="14">
        <f>OR(N(I32)&lt;=Inputs!$B$9,J32&lt;&gt;"")</f>
        <v/>
      </c>
      <c r="V32" s="14">
        <f>IF(L32="",100,IF(N32="",100-M32,N32))</f>
        <v/>
      </c>
      <c r="W32" s="14">
        <f>V32+N(M32)=100</f>
        <v/>
      </c>
      <c r="X32" s="14">
        <f>AND(D32="Closed Won",F32&gt;=Inputs!$B$1,F32&lt;=Inputs!$B$2,S32,U32,W32)</f>
        <v/>
      </c>
      <c r="Y32" s="14">
        <f>IF(X32,G32*R32*T32,0)</f>
        <v/>
      </c>
      <c r="Z32" s="14">
        <f>Y32*V32/100</f>
        <v/>
      </c>
      <c r="AA32" s="14">
        <f>Y32*N(M32)/100</f>
        <v/>
      </c>
      <c r="AB32" s="14">
        <f>IF(AND(X32,K32="Yes",MONTH(F32)=11,Y32&gt;Inputs!$B$8),Inputs!$B$7,0)</f>
        <v/>
      </c>
    </row>
    <row r="33">
      <c r="A33" s="4" t="inlineStr">
        <is>
          <t>OPP-2057</t>
        </is>
      </c>
      <c r="B33" s="4" t="inlineStr">
        <is>
          <t>Pell Foods</t>
        </is>
      </c>
      <c r="C33" s="4" t="inlineStr">
        <is>
          <t>Dan Ortiz</t>
        </is>
      </c>
      <c r="D33" s="4" t="inlineStr">
        <is>
          <t>Closed Won</t>
        </is>
      </c>
      <c r="E33" s="4" t="inlineStr">
        <is>
          <t>Renewal</t>
        </is>
      </c>
      <c r="F33" s="13" t="n">
        <v>46297</v>
      </c>
      <c r="G33" s="4" t="n">
        <v>13000</v>
      </c>
      <c r="H33" s="4" t="inlineStr">
        <is>
          <t>USD</t>
        </is>
      </c>
      <c r="I33" s="4" t="n">
        <v>10</v>
      </c>
      <c r="J33" s="4" t="n"/>
      <c r="K33" s="4" t="inlineStr">
        <is>
          <t>No</t>
        </is>
      </c>
      <c r="L33" s="4" t="n"/>
      <c r="M33" s="4" t="n"/>
      <c r="N33" s="4" t="n"/>
      <c r="O33" s="14">
        <f>IF(AND(D33="Closed Won",F33&gt;=Inputs!$B$1,F33&lt;=Inputs!$B$2),G33*(1-N(M33)/100),0)</f>
        <v/>
      </c>
      <c r="P33" s="14">
        <f>IF(AND(D33="Closed Won",F33&gt;=Inputs!$B$1,F33&lt;=Inputs!$B$2),G33*N(M33)/100,0)</f>
        <v/>
      </c>
      <c r="Q33" s="13">
        <f>IF(H33="USD","",_xlfn.MAXIFS(FX!$A$2:$A$100,FX!$B$2:$B$100,H33,FX!$A$2:$A$100,"&lt;="&amp;F33))</f>
        <v/>
      </c>
      <c r="R33" s="15">
        <f>IF(H33="USD",1,SUMIFS(FX!$C$2:$C$100,FX!$A$2:$A$100,Q33,FX!$B$2:$B$100,H33))</f>
        <v/>
      </c>
      <c r="S33" s="14">
        <f>COUNTIF($A$2:A33,A33)=1</f>
        <v/>
      </c>
      <c r="T33" s="14">
        <f>IF(E33="Renewal",Inputs!$B$6,1)</f>
        <v/>
      </c>
      <c r="U33" s="14">
        <f>OR(N(I33)&lt;=Inputs!$B$9,J33&lt;&gt;"")</f>
        <v/>
      </c>
      <c r="V33" s="14">
        <f>IF(L33="",100,IF(N33="",100-M33,N33))</f>
        <v/>
      </c>
      <c r="W33" s="14">
        <f>V33+N(M33)=100</f>
        <v/>
      </c>
      <c r="X33" s="14">
        <f>AND(D33="Closed Won",F33&gt;=Inputs!$B$1,F33&lt;=Inputs!$B$2,S33,U33,W33)</f>
        <v/>
      </c>
      <c r="Y33" s="14">
        <f>IF(X33,G33*R33*T33,0)</f>
        <v/>
      </c>
      <c r="Z33" s="14">
        <f>Y33*V33/100</f>
        <v/>
      </c>
      <c r="AA33" s="14">
        <f>Y33*N(M33)/100</f>
        <v/>
      </c>
      <c r="AB33" s="14">
        <f>IF(AND(X33,K33="Yes",MONTH(F33)=11,Y33&gt;Inputs!$B$8),Inputs!$B$7,0)</f>
        <v/>
      </c>
    </row>
    <row r="34">
      <c r="A34" s="4" t="inlineStr">
        <is>
          <t>OPP-2017</t>
        </is>
      </c>
      <c r="B34" s="4" t="inlineStr">
        <is>
          <t>Quill Labs</t>
        </is>
      </c>
      <c r="C34" s="4" t="inlineStr">
        <is>
          <t>Tyler Brooks</t>
        </is>
      </c>
      <c r="D34" s="4" t="inlineStr">
        <is>
          <t>Closed Won</t>
        </is>
      </c>
      <c r="E34" s="4" t="inlineStr">
        <is>
          <t>Renewal</t>
        </is>
      </c>
      <c r="F34" s="13" t="n">
        <v>46345</v>
      </c>
      <c r="G34" s="4" t="n">
        <v>19000</v>
      </c>
      <c r="H34" s="4" t="inlineStr">
        <is>
          <t>USD</t>
        </is>
      </c>
      <c r="I34" s="4" t="n">
        <v>5</v>
      </c>
      <c r="J34" s="4" t="n"/>
      <c r="K34" s="4" t="inlineStr">
        <is>
          <t>No</t>
        </is>
      </c>
      <c r="L34" s="4" t="n"/>
      <c r="M34" s="4" t="n"/>
      <c r="N34" s="4" t="n"/>
      <c r="O34" s="14">
        <f>IF(AND(D34="Closed Won",F34&gt;=Inputs!$B$1,F34&lt;=Inputs!$B$2),G34*(1-N(M34)/100),0)</f>
        <v/>
      </c>
      <c r="P34" s="14">
        <f>IF(AND(D34="Closed Won",F34&gt;=Inputs!$B$1,F34&lt;=Inputs!$B$2),G34*N(M34)/100,0)</f>
        <v/>
      </c>
      <c r="Q34" s="13">
        <f>IF(H34="USD","",_xlfn.MAXIFS(FX!$A$2:$A$100,FX!$B$2:$B$100,H34,FX!$A$2:$A$100,"&lt;="&amp;F34))</f>
        <v/>
      </c>
      <c r="R34" s="15">
        <f>IF(H34="USD",1,SUMIFS(FX!$C$2:$C$100,FX!$A$2:$A$100,Q34,FX!$B$2:$B$100,H34))</f>
        <v/>
      </c>
      <c r="S34" s="14">
        <f>COUNTIF($A$2:A34,A34)=1</f>
        <v/>
      </c>
      <c r="T34" s="14">
        <f>IF(E34="Renewal",Inputs!$B$6,1)</f>
        <v/>
      </c>
      <c r="U34" s="14">
        <f>OR(N(I34)&lt;=Inputs!$B$9,J34&lt;&gt;"")</f>
        <v/>
      </c>
      <c r="V34" s="14">
        <f>IF(L34="",100,IF(N34="",100-M34,N34))</f>
        <v/>
      </c>
      <c r="W34" s="14">
        <f>V34+N(M34)=100</f>
        <v/>
      </c>
      <c r="X34" s="14">
        <f>AND(D34="Closed Won",F34&gt;=Inputs!$B$1,F34&lt;=Inputs!$B$2,S34,U34,W34)</f>
        <v/>
      </c>
      <c r="Y34" s="14">
        <f>IF(X34,G34*R34*T34,0)</f>
        <v/>
      </c>
      <c r="Z34" s="14">
        <f>Y34*V34/100</f>
        <v/>
      </c>
      <c r="AA34" s="14">
        <f>Y34*N(M34)/100</f>
        <v/>
      </c>
      <c r="AB34" s="14">
        <f>IF(AND(X34,K34="Yes",MONTH(F34)=11,Y34&gt;Inputs!$B$8),Inputs!$B$7,0)</f>
        <v/>
      </c>
    </row>
    <row r="35">
      <c r="A35" s="4" t="inlineStr">
        <is>
          <t>OPP-2089</t>
        </is>
      </c>
      <c r="B35" s="4" t="inlineStr">
        <is>
          <t>Larchmont Energy</t>
        </is>
      </c>
      <c r="C35" s="4" t="inlineStr">
        <is>
          <t>Priya Shah</t>
        </is>
      </c>
      <c r="D35" s="4" t="inlineStr">
        <is>
          <t>Closed Lost</t>
        </is>
      </c>
      <c r="E35" s="4" t="inlineStr">
        <is>
          <t>New Business</t>
        </is>
      </c>
      <c r="F35" s="13" t="n">
        <v>46335</v>
      </c>
      <c r="G35" s="4" t="n">
        <v>29000</v>
      </c>
      <c r="H35" s="4" t="inlineStr">
        <is>
          <t>USD</t>
        </is>
      </c>
      <c r="I35" s="4" t="n">
        <v>0</v>
      </c>
      <c r="J35" s="4" t="n"/>
      <c r="K35" s="4" t="inlineStr">
        <is>
          <t>No</t>
        </is>
      </c>
      <c r="L35" s="4" t="n"/>
      <c r="M35" s="4" t="n"/>
      <c r="N35" s="4" t="n"/>
      <c r="O35" s="14">
        <f>IF(AND(D35="Closed Won",F35&gt;=Inputs!$B$1,F35&lt;=Inputs!$B$2),G35*(1-N(M35)/100),0)</f>
        <v/>
      </c>
      <c r="P35" s="14">
        <f>IF(AND(D35="Closed Won",F35&gt;=Inputs!$B$1,F35&lt;=Inputs!$B$2),G35*N(M35)/100,0)</f>
        <v/>
      </c>
      <c r="Q35" s="13">
        <f>IF(H35="USD","",_xlfn.MAXIFS(FX!$A$2:$A$100,FX!$B$2:$B$100,H35,FX!$A$2:$A$100,"&lt;="&amp;F35))</f>
        <v/>
      </c>
      <c r="R35" s="15">
        <f>IF(H35="USD",1,SUMIFS(FX!$C$2:$C$100,FX!$A$2:$A$100,Q35,FX!$B$2:$B$100,H35))</f>
        <v/>
      </c>
      <c r="S35" s="14">
        <f>COUNTIF($A$2:A35,A35)=1</f>
        <v/>
      </c>
      <c r="T35" s="14">
        <f>IF(E35="Renewal",Inputs!$B$6,1)</f>
        <v/>
      </c>
      <c r="U35" s="14">
        <f>OR(N(I35)&lt;=Inputs!$B$9,J35&lt;&gt;"")</f>
        <v/>
      </c>
      <c r="V35" s="14">
        <f>IF(L35="",100,IF(N35="",100-M35,N35))</f>
        <v/>
      </c>
      <c r="W35" s="14">
        <f>V35+N(M35)=100</f>
        <v/>
      </c>
      <c r="X35" s="14">
        <f>AND(D35="Closed Won",F35&gt;=Inputs!$B$1,F35&lt;=Inputs!$B$2,S35,U35,W35)</f>
        <v/>
      </c>
      <c r="Y35" s="14">
        <f>IF(X35,G35*R35*T35,0)</f>
        <v/>
      </c>
      <c r="Z35" s="14">
        <f>Y35*V35/100</f>
        <v/>
      </c>
      <c r="AA35" s="14">
        <f>Y35*N(M35)/100</f>
        <v/>
      </c>
      <c r="AB35" s="14">
        <f>IF(AND(X35,K35="Yes",MONTH(F35)=11,Y35&gt;Inputs!$B$8),Inputs!$B$7,0)</f>
        <v/>
      </c>
    </row>
    <row r="36">
      <c r="A36" s="4" t="inlineStr">
        <is>
          <t>OPP-2064</t>
        </is>
      </c>
      <c r="B36" s="4" t="inlineStr">
        <is>
          <t>Orrin Health</t>
        </is>
      </c>
      <c r="C36" s="4" t="inlineStr">
        <is>
          <t>Dan Ortiz</t>
        </is>
      </c>
      <c r="D36" s="4" t="inlineStr">
        <is>
          <t>Closed Won</t>
        </is>
      </c>
      <c r="E36" s="4" t="inlineStr">
        <is>
          <t>Renewal</t>
        </is>
      </c>
      <c r="F36" s="13" t="n">
        <v>46302</v>
      </c>
      <c r="G36" s="4" t="n">
        <v>18500</v>
      </c>
      <c r="H36" s="4" t="inlineStr">
        <is>
          <t>USD</t>
        </is>
      </c>
      <c r="I36" s="4" t="n">
        <v>0</v>
      </c>
      <c r="J36" s="4" t="n"/>
      <c r="K36" s="4" t="inlineStr">
        <is>
          <t>No</t>
        </is>
      </c>
      <c r="L36" s="4" t="n"/>
      <c r="M36" s="4" t="n"/>
      <c r="N36" s="4" t="n"/>
      <c r="O36" s="14">
        <f>IF(AND(D36="Closed Won",F36&gt;=Inputs!$B$1,F36&lt;=Inputs!$B$2),G36*(1-N(M36)/100),0)</f>
        <v/>
      </c>
      <c r="P36" s="14">
        <f>IF(AND(D36="Closed Won",F36&gt;=Inputs!$B$1,F36&lt;=Inputs!$B$2),G36*N(M36)/100,0)</f>
        <v/>
      </c>
      <c r="Q36" s="13">
        <f>IF(H36="USD","",_xlfn.MAXIFS(FX!$A$2:$A$100,FX!$B$2:$B$100,H36,FX!$A$2:$A$100,"&lt;="&amp;F36))</f>
        <v/>
      </c>
      <c r="R36" s="15">
        <f>IF(H36="USD",1,SUMIFS(FX!$C$2:$C$100,FX!$A$2:$A$100,Q36,FX!$B$2:$B$100,H36))</f>
        <v/>
      </c>
      <c r="S36" s="14">
        <f>COUNTIF($A$2:A36,A36)=1</f>
        <v/>
      </c>
      <c r="T36" s="14">
        <f>IF(E36="Renewal",Inputs!$B$6,1)</f>
        <v/>
      </c>
      <c r="U36" s="14">
        <f>OR(N(I36)&lt;=Inputs!$B$9,J36&lt;&gt;"")</f>
        <v/>
      </c>
      <c r="V36" s="14">
        <f>IF(L36="",100,IF(N36="",100-M36,N36))</f>
        <v/>
      </c>
      <c r="W36" s="14">
        <f>V36+N(M36)=100</f>
        <v/>
      </c>
      <c r="X36" s="14">
        <f>AND(D36="Closed Won",F36&gt;=Inputs!$B$1,F36&lt;=Inputs!$B$2,S36,U36,W36)</f>
        <v/>
      </c>
      <c r="Y36" s="14">
        <f>IF(X36,G36*R36*T36,0)</f>
        <v/>
      </c>
      <c r="Z36" s="14">
        <f>Y36*V36/100</f>
        <v/>
      </c>
      <c r="AA36" s="14">
        <f>Y36*N(M36)/100</f>
        <v/>
      </c>
      <c r="AB36" s="14">
        <f>IF(AND(X36,K36="Yes",MONTH(F36)=11,Y36&gt;Inputs!$B$8),Inputs!$B$7,0)</f>
        <v/>
      </c>
    </row>
    <row r="37">
      <c r="A37" s="4" t="inlineStr">
        <is>
          <t>OPP-2094</t>
        </is>
      </c>
      <c r="B37" s="4" t="inlineStr">
        <is>
          <t>Juniper Analytics</t>
        </is>
      </c>
      <c r="C37" s="4" t="inlineStr">
        <is>
          <t>Ana Lima</t>
        </is>
      </c>
      <c r="D37" s="4" t="inlineStr">
        <is>
          <t>Negotiation</t>
        </is>
      </c>
      <c r="E37" s="4" t="inlineStr">
        <is>
          <t>New Business</t>
        </is>
      </c>
      <c r="F37" s="13" t="n">
        <v>46325</v>
      </c>
      <c r="G37" s="4" t="n">
        <v>37000</v>
      </c>
      <c r="H37" s="4" t="inlineStr">
        <is>
          <t>USD</t>
        </is>
      </c>
      <c r="I37" s="4" t="n">
        <v>0</v>
      </c>
      <c r="J37" s="4" t="n"/>
      <c r="K37" s="4" t="inlineStr">
        <is>
          <t>No</t>
        </is>
      </c>
      <c r="L37" s="4" t="n"/>
      <c r="M37" s="4" t="n"/>
      <c r="N37" s="4" t="n"/>
      <c r="O37" s="14">
        <f>IF(AND(D37="Closed Won",F37&gt;=Inputs!$B$1,F37&lt;=Inputs!$B$2),G37*(1-N(M37)/100),0)</f>
        <v/>
      </c>
      <c r="P37" s="14">
        <f>IF(AND(D37="Closed Won",F37&gt;=Inputs!$B$1,F37&lt;=Inputs!$B$2),G37*N(M37)/100,0)</f>
        <v/>
      </c>
      <c r="Q37" s="13">
        <f>IF(H37="USD","",_xlfn.MAXIFS(FX!$A$2:$A$100,FX!$B$2:$B$100,H37,FX!$A$2:$A$100,"&lt;="&amp;F37))</f>
        <v/>
      </c>
      <c r="R37" s="15">
        <f>IF(H37="USD",1,SUMIFS(FX!$C$2:$C$100,FX!$A$2:$A$100,Q37,FX!$B$2:$B$100,H37))</f>
        <v/>
      </c>
      <c r="S37" s="14">
        <f>COUNTIF($A$2:A37,A37)=1</f>
        <v/>
      </c>
      <c r="T37" s="14">
        <f>IF(E37="Renewal",Inputs!$B$6,1)</f>
        <v/>
      </c>
      <c r="U37" s="14">
        <f>OR(N(I37)&lt;=Inputs!$B$9,J37&lt;&gt;"")</f>
        <v/>
      </c>
      <c r="V37" s="14">
        <f>IF(L37="",100,IF(N37="",100-M37,N37))</f>
        <v/>
      </c>
      <c r="W37" s="14">
        <f>V37+N(M37)=100</f>
        <v/>
      </c>
      <c r="X37" s="14">
        <f>AND(D37="Closed Won",F37&gt;=Inputs!$B$1,F37&lt;=Inputs!$B$2,S37,U37,W37)</f>
        <v/>
      </c>
      <c r="Y37" s="14">
        <f>IF(X37,G37*R37*T37,0)</f>
        <v/>
      </c>
      <c r="Z37" s="14">
        <f>Y37*V37/100</f>
        <v/>
      </c>
      <c r="AA37" s="14">
        <f>Y37*N(M37)/100</f>
        <v/>
      </c>
      <c r="AB37" s="14">
        <f>IF(AND(X37,K37="Yes",MONTH(F37)=11,Y37&gt;Inputs!$B$8),Inputs!$B$7,0)</f>
        <v/>
      </c>
    </row>
    <row r="38">
      <c r="A38" s="4" t="inlineStr">
        <is>
          <t>OPP-2027</t>
        </is>
      </c>
      <c r="B38" s="4" t="inlineStr">
        <is>
          <t>Ostrand Freight</t>
        </is>
      </c>
      <c r="C38" s="4" t="inlineStr">
        <is>
          <t>Tyler Brooks</t>
        </is>
      </c>
      <c r="D38" s="4" t="inlineStr">
        <is>
          <t>Closed Won</t>
        </is>
      </c>
      <c r="E38" s="4" t="inlineStr">
        <is>
          <t>Expansion</t>
        </is>
      </c>
      <c r="F38" s="13" t="n">
        <v>46311</v>
      </c>
      <c r="G38" s="4" t="n">
        <v>15500</v>
      </c>
      <c r="H38" s="4" t="inlineStr">
        <is>
          <t>USD</t>
        </is>
      </c>
      <c r="I38" s="4" t="n">
        <v>15</v>
      </c>
      <c r="J38" s="4" t="n"/>
      <c r="K38" s="4" t="inlineStr">
        <is>
          <t>No</t>
        </is>
      </c>
      <c r="L38" s="4" t="n"/>
      <c r="M38" s="4" t="n"/>
      <c r="N38" s="4" t="n"/>
      <c r="O38" s="14">
        <f>IF(AND(D38="Closed Won",F38&gt;=Inputs!$B$1,F38&lt;=Inputs!$B$2),G38*(1-N(M38)/100),0)</f>
        <v/>
      </c>
      <c r="P38" s="14">
        <f>IF(AND(D38="Closed Won",F38&gt;=Inputs!$B$1,F38&lt;=Inputs!$B$2),G38*N(M38)/100,0)</f>
        <v/>
      </c>
      <c r="Q38" s="13">
        <f>IF(H38="USD","",_xlfn.MAXIFS(FX!$A$2:$A$100,FX!$B$2:$B$100,H38,FX!$A$2:$A$100,"&lt;="&amp;F38))</f>
        <v/>
      </c>
      <c r="R38" s="15">
        <f>IF(H38="USD",1,SUMIFS(FX!$C$2:$C$100,FX!$A$2:$A$100,Q38,FX!$B$2:$B$100,H38))</f>
        <v/>
      </c>
      <c r="S38" s="14">
        <f>COUNTIF($A$2:A38,A38)=1</f>
        <v/>
      </c>
      <c r="T38" s="14">
        <f>IF(E38="Renewal",Inputs!$B$6,1)</f>
        <v/>
      </c>
      <c r="U38" s="14">
        <f>OR(N(I38)&lt;=Inputs!$B$9,J38&lt;&gt;"")</f>
        <v/>
      </c>
      <c r="V38" s="14">
        <f>IF(L38="",100,IF(N38="",100-M38,N38))</f>
        <v/>
      </c>
      <c r="W38" s="14">
        <f>V38+N(M38)=100</f>
        <v/>
      </c>
      <c r="X38" s="14">
        <f>AND(D38="Closed Won",F38&gt;=Inputs!$B$1,F38&lt;=Inputs!$B$2,S38,U38,W38)</f>
        <v/>
      </c>
      <c r="Y38" s="14">
        <f>IF(X38,G38*R38*T38,0)</f>
        <v/>
      </c>
      <c r="Z38" s="14">
        <f>Y38*V38/100</f>
        <v/>
      </c>
      <c r="AA38" s="14">
        <f>Y38*N(M38)/100</f>
        <v/>
      </c>
      <c r="AB38" s="14">
        <f>IF(AND(X38,K38="Yes",MONTH(F38)=11,Y38&gt;Inputs!$B$8),Inputs!$B$7,0)</f>
        <v/>
      </c>
    </row>
    <row r="39">
      <c r="A39" s="4" t="inlineStr">
        <is>
          <t>OPP-2048</t>
        </is>
      </c>
      <c r="B39" s="4" t="inlineStr">
        <is>
          <t>Kestrel Labs</t>
        </is>
      </c>
      <c r="C39" s="4" t="inlineStr">
        <is>
          <t>Marcus Reed</t>
        </is>
      </c>
      <c r="D39" s="4" t="inlineStr">
        <is>
          <t>Closed Won</t>
        </is>
      </c>
      <c r="E39" s="4" t="inlineStr">
        <is>
          <t>New Business</t>
        </is>
      </c>
      <c r="F39" s="13" t="n">
        <v>46358</v>
      </c>
      <c r="G39" s="4" t="n">
        <v>15500</v>
      </c>
      <c r="H39" s="4" t="inlineStr">
        <is>
          <t>USD</t>
        </is>
      </c>
      <c r="I39" s="4" t="n">
        <v>10</v>
      </c>
      <c r="J39" s="4" t="n"/>
      <c r="K39" s="4" t="inlineStr">
        <is>
          <t>No</t>
        </is>
      </c>
      <c r="L39" s="4" t="n"/>
      <c r="M39" s="4" t="n"/>
      <c r="N39" s="4" t="n"/>
      <c r="O39" s="14">
        <f>IF(AND(D39="Closed Won",F39&gt;=Inputs!$B$1,F39&lt;=Inputs!$B$2),G39*(1-N(M39)/100),0)</f>
        <v/>
      </c>
      <c r="P39" s="14">
        <f>IF(AND(D39="Closed Won",F39&gt;=Inputs!$B$1,F39&lt;=Inputs!$B$2),G39*N(M39)/100,0)</f>
        <v/>
      </c>
      <c r="Q39" s="13">
        <f>IF(H39="USD","",_xlfn.MAXIFS(FX!$A$2:$A$100,FX!$B$2:$B$100,H39,FX!$A$2:$A$100,"&lt;="&amp;F39))</f>
        <v/>
      </c>
      <c r="R39" s="15">
        <f>IF(H39="USD",1,SUMIFS(FX!$C$2:$C$100,FX!$A$2:$A$100,Q39,FX!$B$2:$B$100,H39))</f>
        <v/>
      </c>
      <c r="S39" s="14">
        <f>COUNTIF($A$2:A39,A39)=1</f>
        <v/>
      </c>
      <c r="T39" s="14">
        <f>IF(E39="Renewal",Inputs!$B$6,1)</f>
        <v/>
      </c>
      <c r="U39" s="14">
        <f>OR(N(I39)&lt;=Inputs!$B$9,J39&lt;&gt;"")</f>
        <v/>
      </c>
      <c r="V39" s="14">
        <f>IF(L39="",100,IF(N39="",100-M39,N39))</f>
        <v/>
      </c>
      <c r="W39" s="14">
        <f>V39+N(M39)=100</f>
        <v/>
      </c>
      <c r="X39" s="14">
        <f>AND(D39="Closed Won",F39&gt;=Inputs!$B$1,F39&lt;=Inputs!$B$2,S39,U39,W39)</f>
        <v/>
      </c>
      <c r="Y39" s="14">
        <f>IF(X39,G39*R39*T39,0)</f>
        <v/>
      </c>
      <c r="Z39" s="14">
        <f>Y39*V39/100</f>
        <v/>
      </c>
      <c r="AA39" s="14">
        <f>Y39*N(M39)/100</f>
        <v/>
      </c>
      <c r="AB39" s="14">
        <f>IF(AND(X39,K39="Yes",MONTH(F39)=11,Y39&gt;Inputs!$B$8),Inputs!$B$7,0)</f>
        <v/>
      </c>
    </row>
    <row r="40">
      <c r="A40" s="4" t="inlineStr">
        <is>
          <t>OPP-2042</t>
        </is>
      </c>
      <c r="B40" s="4" t="inlineStr">
        <is>
          <t>Kessel Foods</t>
        </is>
      </c>
      <c r="C40" s="4" t="inlineStr">
        <is>
          <t>Marcus Reed</t>
        </is>
      </c>
      <c r="D40" s="4" t="inlineStr">
        <is>
          <t>Closed Won</t>
        </is>
      </c>
      <c r="E40" s="4" t="inlineStr">
        <is>
          <t>Renewal</t>
        </is>
      </c>
      <c r="F40" s="13" t="n">
        <v>46374</v>
      </c>
      <c r="G40" s="4" t="n">
        <v>31000</v>
      </c>
      <c r="H40" s="4" t="inlineStr">
        <is>
          <t>USD</t>
        </is>
      </c>
      <c r="I40" s="4" t="n">
        <v>0</v>
      </c>
      <c r="J40" s="4" t="n"/>
      <c r="K40" s="4" t="inlineStr">
        <is>
          <t>No</t>
        </is>
      </c>
      <c r="L40" s="4" t="n"/>
      <c r="M40" s="4" t="n"/>
      <c r="N40" s="4" t="n"/>
      <c r="O40" s="14">
        <f>IF(AND(D40="Closed Won",F40&gt;=Inputs!$B$1,F40&lt;=Inputs!$B$2),G40*(1-N(M40)/100),0)</f>
        <v/>
      </c>
      <c r="P40" s="14">
        <f>IF(AND(D40="Closed Won",F40&gt;=Inputs!$B$1,F40&lt;=Inputs!$B$2),G40*N(M40)/100,0)</f>
        <v/>
      </c>
      <c r="Q40" s="13">
        <f>IF(H40="USD","",_xlfn.MAXIFS(FX!$A$2:$A$100,FX!$B$2:$B$100,H40,FX!$A$2:$A$100,"&lt;="&amp;F40))</f>
        <v/>
      </c>
      <c r="R40" s="15">
        <f>IF(H40="USD",1,SUMIFS(FX!$C$2:$C$100,FX!$A$2:$A$100,Q40,FX!$B$2:$B$100,H40))</f>
        <v/>
      </c>
      <c r="S40" s="14">
        <f>COUNTIF($A$2:A40,A40)=1</f>
        <v/>
      </c>
      <c r="T40" s="14">
        <f>IF(E40="Renewal",Inputs!$B$6,1)</f>
        <v/>
      </c>
      <c r="U40" s="14">
        <f>OR(N(I40)&lt;=Inputs!$B$9,J40&lt;&gt;"")</f>
        <v/>
      </c>
      <c r="V40" s="14">
        <f>IF(L40="",100,IF(N40="",100-M40,N40))</f>
        <v/>
      </c>
      <c r="W40" s="14">
        <f>V40+N(M40)=100</f>
        <v/>
      </c>
      <c r="X40" s="14">
        <f>AND(D40="Closed Won",F40&gt;=Inputs!$B$1,F40&lt;=Inputs!$B$2,S40,U40,W40)</f>
        <v/>
      </c>
      <c r="Y40" s="14">
        <f>IF(X40,G40*R40*T40,0)</f>
        <v/>
      </c>
      <c r="Z40" s="14">
        <f>Y40*V40/100</f>
        <v/>
      </c>
      <c r="AA40" s="14">
        <f>Y40*N(M40)/100</f>
        <v/>
      </c>
      <c r="AB40" s="14">
        <f>IF(AND(X40,K40="Yes",MONTH(F40)=11,Y40&gt;Inputs!$B$8),Inputs!$B$7,0)</f>
        <v/>
      </c>
    </row>
    <row r="41">
      <c r="A41" s="4" t="inlineStr">
        <is>
          <t>OPP-2004</t>
        </is>
      </c>
      <c r="B41" s="4" t="inlineStr">
        <is>
          <t>Tamber Dental</t>
        </is>
      </c>
      <c r="C41" s="4" t="inlineStr">
        <is>
          <t>Priya Shah</t>
        </is>
      </c>
      <c r="D41" s="4" t="inlineStr">
        <is>
          <t>Closed Won</t>
        </is>
      </c>
      <c r="E41" s="4" t="inlineStr">
        <is>
          <t>New Business</t>
        </is>
      </c>
      <c r="F41" s="13" t="n">
        <v>46296</v>
      </c>
      <c r="G41" s="4" t="n">
        <v>16000</v>
      </c>
      <c r="H41" s="4" t="inlineStr">
        <is>
          <t>USD</t>
        </is>
      </c>
      <c r="I41" s="4" t="n">
        <v>0</v>
      </c>
      <c r="J41" s="4" t="n"/>
      <c r="K41" s="4" t="inlineStr">
        <is>
          <t>No</t>
        </is>
      </c>
      <c r="L41" s="4" t="n"/>
      <c r="M41" s="4" t="n"/>
      <c r="N41" s="4" t="n"/>
      <c r="O41" s="14">
        <f>IF(AND(D41="Closed Won",F41&gt;=Inputs!$B$1,F41&lt;=Inputs!$B$2),G41*(1-N(M41)/100),0)</f>
        <v/>
      </c>
      <c r="P41" s="14">
        <f>IF(AND(D41="Closed Won",F41&gt;=Inputs!$B$1,F41&lt;=Inputs!$B$2),G41*N(M41)/100,0)</f>
        <v/>
      </c>
      <c r="Q41" s="13">
        <f>IF(H41="USD","",_xlfn.MAXIFS(FX!$A$2:$A$100,FX!$B$2:$B$100,H41,FX!$A$2:$A$100,"&lt;="&amp;F41))</f>
        <v/>
      </c>
      <c r="R41" s="15">
        <f>IF(H41="USD",1,SUMIFS(FX!$C$2:$C$100,FX!$A$2:$A$100,Q41,FX!$B$2:$B$100,H41))</f>
        <v/>
      </c>
      <c r="S41" s="14">
        <f>COUNTIF($A$2:A41,A41)=1</f>
        <v/>
      </c>
      <c r="T41" s="14">
        <f>IF(E41="Renewal",Inputs!$B$6,1)</f>
        <v/>
      </c>
      <c r="U41" s="14">
        <f>OR(N(I41)&lt;=Inputs!$B$9,J41&lt;&gt;"")</f>
        <v/>
      </c>
      <c r="V41" s="14">
        <f>IF(L41="",100,IF(N41="",100-M41,N41))</f>
        <v/>
      </c>
      <c r="W41" s="14">
        <f>V41+N(M41)=100</f>
        <v/>
      </c>
      <c r="X41" s="14">
        <f>AND(D41="Closed Won",F41&gt;=Inputs!$B$1,F41&lt;=Inputs!$B$2,S41,U41,W41)</f>
        <v/>
      </c>
      <c r="Y41" s="14">
        <f>IF(X41,G41*R41*T41,0)</f>
        <v/>
      </c>
      <c r="Z41" s="14">
        <f>Y41*V41/100</f>
        <v/>
      </c>
      <c r="AA41" s="14">
        <f>Y41*N(M41)/100</f>
        <v/>
      </c>
      <c r="AB41" s="14">
        <f>IF(AND(X41,K41="Yes",MONTH(F41)=11,Y41&gt;Inputs!$B$8),Inputs!$B$7,0)</f>
        <v/>
      </c>
    </row>
    <row r="42">
      <c r="A42" s="4" t="inlineStr">
        <is>
          <t>OPP-2024</t>
        </is>
      </c>
      <c r="B42" s="4" t="inlineStr">
        <is>
          <t>Northgate Foods</t>
        </is>
      </c>
      <c r="C42" s="4" t="inlineStr">
        <is>
          <t>Tyler Brooks</t>
        </is>
      </c>
      <c r="D42" s="4" t="inlineStr">
        <is>
          <t>Closed Won</t>
        </is>
      </c>
      <c r="E42" s="4" t="inlineStr">
        <is>
          <t>New Business</t>
        </is>
      </c>
      <c r="F42" s="13" t="n">
        <v>46338</v>
      </c>
      <c r="G42" s="4" t="n">
        <v>25500</v>
      </c>
      <c r="H42" s="4" t="inlineStr">
        <is>
          <t>USD</t>
        </is>
      </c>
      <c r="I42" s="4" t="n">
        <v>15</v>
      </c>
      <c r="J42" s="4" t="n"/>
      <c r="K42" s="4" t="inlineStr">
        <is>
          <t>No</t>
        </is>
      </c>
      <c r="L42" s="4" t="n"/>
      <c r="M42" s="4" t="n"/>
      <c r="N42" s="4" t="n"/>
      <c r="O42" s="14">
        <f>IF(AND(D42="Closed Won",F42&gt;=Inputs!$B$1,F42&lt;=Inputs!$B$2),G42*(1-N(M42)/100),0)</f>
        <v/>
      </c>
      <c r="P42" s="14">
        <f>IF(AND(D42="Closed Won",F42&gt;=Inputs!$B$1,F42&lt;=Inputs!$B$2),G42*N(M42)/100,0)</f>
        <v/>
      </c>
      <c r="Q42" s="13">
        <f>IF(H42="USD","",_xlfn.MAXIFS(FX!$A$2:$A$100,FX!$B$2:$B$100,H42,FX!$A$2:$A$100,"&lt;="&amp;F42))</f>
        <v/>
      </c>
      <c r="R42" s="15">
        <f>IF(H42="USD",1,SUMIFS(FX!$C$2:$C$100,FX!$A$2:$A$100,Q42,FX!$B$2:$B$100,H42))</f>
        <v/>
      </c>
      <c r="S42" s="14">
        <f>COUNTIF($A$2:A42,A42)=1</f>
        <v/>
      </c>
      <c r="T42" s="14">
        <f>IF(E42="Renewal",Inputs!$B$6,1)</f>
        <v/>
      </c>
      <c r="U42" s="14">
        <f>OR(N(I42)&lt;=Inputs!$B$9,J42&lt;&gt;"")</f>
        <v/>
      </c>
      <c r="V42" s="14">
        <f>IF(L42="",100,IF(N42="",100-M42,N42))</f>
        <v/>
      </c>
      <c r="W42" s="14">
        <f>V42+N(M42)=100</f>
        <v/>
      </c>
      <c r="X42" s="14">
        <f>AND(D42="Closed Won",F42&gt;=Inputs!$B$1,F42&lt;=Inputs!$B$2,S42,U42,W42)</f>
        <v/>
      </c>
      <c r="Y42" s="14">
        <f>IF(X42,G42*R42*T42,0)</f>
        <v/>
      </c>
      <c r="Z42" s="14">
        <f>Y42*V42/100</f>
        <v/>
      </c>
      <c r="AA42" s="14">
        <f>Y42*N(M42)/100</f>
        <v/>
      </c>
      <c r="AB42" s="14">
        <f>IF(AND(X42,K42="Yes",MONTH(F42)=11,Y42&gt;Inputs!$B$8),Inputs!$B$7,0)</f>
        <v/>
      </c>
    </row>
    <row r="43">
      <c r="A43" s="4" t="inlineStr">
        <is>
          <t>OPP-2086</t>
        </is>
      </c>
      <c r="B43" s="4" t="inlineStr">
        <is>
          <t>Ostrand Health</t>
        </is>
      </c>
      <c r="C43" s="4" t="inlineStr">
        <is>
          <t>Priya Shah</t>
        </is>
      </c>
      <c r="D43" s="4" t="inlineStr">
        <is>
          <t>Proposal</t>
        </is>
      </c>
      <c r="E43" s="4" t="inlineStr">
        <is>
          <t>New Business</t>
        </is>
      </c>
      <c r="F43" s="13" t="n">
        <v>46358</v>
      </c>
      <c r="G43" s="4" t="n">
        <v>40000</v>
      </c>
      <c r="H43" s="4" t="inlineStr">
        <is>
          <t>USD</t>
        </is>
      </c>
      <c r="I43" s="4" t="n">
        <v>0</v>
      </c>
      <c r="J43" s="4" t="n"/>
      <c r="K43" s="4" t="inlineStr">
        <is>
          <t>No</t>
        </is>
      </c>
      <c r="L43" s="4" t="n"/>
      <c r="M43" s="4" t="n"/>
      <c r="N43" s="4" t="n"/>
      <c r="O43" s="14">
        <f>IF(AND(D43="Closed Won",F43&gt;=Inputs!$B$1,F43&lt;=Inputs!$B$2),G43*(1-N(M43)/100),0)</f>
        <v/>
      </c>
      <c r="P43" s="14">
        <f>IF(AND(D43="Closed Won",F43&gt;=Inputs!$B$1,F43&lt;=Inputs!$B$2),G43*N(M43)/100,0)</f>
        <v/>
      </c>
      <c r="Q43" s="13">
        <f>IF(H43="USD","",_xlfn.MAXIFS(FX!$A$2:$A$100,FX!$B$2:$B$100,H43,FX!$A$2:$A$100,"&lt;="&amp;F43))</f>
        <v/>
      </c>
      <c r="R43" s="15">
        <f>IF(H43="USD",1,SUMIFS(FX!$C$2:$C$100,FX!$A$2:$A$100,Q43,FX!$B$2:$B$100,H43))</f>
        <v/>
      </c>
      <c r="S43" s="14">
        <f>COUNTIF($A$2:A43,A43)=1</f>
        <v/>
      </c>
      <c r="T43" s="14">
        <f>IF(E43="Renewal",Inputs!$B$6,1)</f>
        <v/>
      </c>
      <c r="U43" s="14">
        <f>OR(N(I43)&lt;=Inputs!$B$9,J43&lt;&gt;"")</f>
        <v/>
      </c>
      <c r="V43" s="14">
        <f>IF(L43="",100,IF(N43="",100-M43,N43))</f>
        <v/>
      </c>
      <c r="W43" s="14">
        <f>V43+N(M43)=100</f>
        <v/>
      </c>
      <c r="X43" s="14">
        <f>AND(D43="Closed Won",F43&gt;=Inputs!$B$1,F43&lt;=Inputs!$B$2,S43,U43,W43)</f>
        <v/>
      </c>
      <c r="Y43" s="14">
        <f>IF(X43,G43*R43*T43,0)</f>
        <v/>
      </c>
      <c r="Z43" s="14">
        <f>Y43*V43/100</f>
        <v/>
      </c>
      <c r="AA43" s="14">
        <f>Y43*N(M43)/100</f>
        <v/>
      </c>
      <c r="AB43" s="14">
        <f>IF(AND(X43,K43="Yes",MONTH(F43)=11,Y43&gt;Inputs!$B$8),Inputs!$B$7,0)</f>
        <v/>
      </c>
    </row>
    <row r="44">
      <c r="A44" s="4" t="inlineStr">
        <is>
          <t>OPP-2020</t>
        </is>
      </c>
      <c r="B44" s="4" t="inlineStr">
        <is>
          <t>Kessel Retail</t>
        </is>
      </c>
      <c r="C44" s="4" t="inlineStr">
        <is>
          <t>Tyler Brooks</t>
        </is>
      </c>
      <c r="D44" s="4" t="inlineStr">
        <is>
          <t>Closed Won</t>
        </is>
      </c>
      <c r="E44" s="4" t="inlineStr">
        <is>
          <t>Renewal</t>
        </is>
      </c>
      <c r="F44" s="13" t="n">
        <v>46325</v>
      </c>
      <c r="G44" s="4" t="n">
        <v>26500</v>
      </c>
      <c r="H44" s="4" t="inlineStr">
        <is>
          <t>USD</t>
        </is>
      </c>
      <c r="I44" s="4" t="n">
        <v>0</v>
      </c>
      <c r="J44" s="4" t="n"/>
      <c r="K44" s="4" t="inlineStr">
        <is>
          <t>No</t>
        </is>
      </c>
      <c r="L44" s="4" t="n"/>
      <c r="M44" s="4" t="n"/>
      <c r="N44" s="4" t="n"/>
      <c r="O44" s="14">
        <f>IF(AND(D44="Closed Won",F44&gt;=Inputs!$B$1,F44&lt;=Inputs!$B$2),G44*(1-N(M44)/100),0)</f>
        <v/>
      </c>
      <c r="P44" s="14">
        <f>IF(AND(D44="Closed Won",F44&gt;=Inputs!$B$1,F44&lt;=Inputs!$B$2),G44*N(M44)/100,0)</f>
        <v/>
      </c>
      <c r="Q44" s="13">
        <f>IF(H44="USD","",_xlfn.MAXIFS(FX!$A$2:$A$100,FX!$B$2:$B$100,H44,FX!$A$2:$A$100,"&lt;="&amp;F44))</f>
        <v/>
      </c>
      <c r="R44" s="15">
        <f>IF(H44="USD",1,SUMIFS(FX!$C$2:$C$100,FX!$A$2:$A$100,Q44,FX!$B$2:$B$100,H44))</f>
        <v/>
      </c>
      <c r="S44" s="14">
        <f>COUNTIF($A$2:A44,A44)=1</f>
        <v/>
      </c>
      <c r="T44" s="14">
        <f>IF(E44="Renewal",Inputs!$B$6,1)</f>
        <v/>
      </c>
      <c r="U44" s="14">
        <f>OR(N(I44)&lt;=Inputs!$B$9,J44&lt;&gt;"")</f>
        <v/>
      </c>
      <c r="V44" s="14">
        <f>IF(L44="",100,IF(N44="",100-M44,N44))</f>
        <v/>
      </c>
      <c r="W44" s="14">
        <f>V44+N(M44)=100</f>
        <v/>
      </c>
      <c r="X44" s="14">
        <f>AND(D44="Closed Won",F44&gt;=Inputs!$B$1,F44&lt;=Inputs!$B$2,S44,U44,W44)</f>
        <v/>
      </c>
      <c r="Y44" s="14">
        <f>IF(X44,G44*R44*T44,0)</f>
        <v/>
      </c>
      <c r="Z44" s="14">
        <f>Y44*V44/100</f>
        <v/>
      </c>
      <c r="AA44" s="14">
        <f>Y44*N(M44)/100</f>
        <v/>
      </c>
      <c r="AB44" s="14">
        <f>IF(AND(X44,K44="Yes",MONTH(F44)=11,Y44&gt;Inputs!$B$8),Inputs!$B$7,0)</f>
        <v/>
      </c>
    </row>
    <row r="45">
      <c r="A45" s="4" t="inlineStr">
        <is>
          <t>OPP-2019</t>
        </is>
      </c>
      <c r="B45" s="4" t="inlineStr">
        <is>
          <t>Ivers Freight</t>
        </is>
      </c>
      <c r="C45" s="4" t="inlineStr">
        <is>
          <t>Tyler Brooks</t>
        </is>
      </c>
      <c r="D45" s="4" t="inlineStr">
        <is>
          <t>Closed Won</t>
        </is>
      </c>
      <c r="E45" s="4" t="inlineStr">
        <is>
          <t>Expansion</t>
        </is>
      </c>
      <c r="F45" s="13" t="n">
        <v>46315</v>
      </c>
      <c r="G45" s="4" t="n">
        <v>26000</v>
      </c>
      <c r="H45" s="4" t="inlineStr">
        <is>
          <t>USD</t>
        </is>
      </c>
      <c r="I45" s="4" t="n">
        <v>15</v>
      </c>
      <c r="J45" s="4" t="n"/>
      <c r="K45" s="4" t="inlineStr">
        <is>
          <t>No</t>
        </is>
      </c>
      <c r="L45" s="4" t="n"/>
      <c r="M45" s="4" t="n"/>
      <c r="N45" s="4" t="n"/>
      <c r="O45" s="14">
        <f>IF(AND(D45="Closed Won",F45&gt;=Inputs!$B$1,F45&lt;=Inputs!$B$2),G45*(1-N(M45)/100),0)</f>
        <v/>
      </c>
      <c r="P45" s="14">
        <f>IF(AND(D45="Closed Won",F45&gt;=Inputs!$B$1,F45&lt;=Inputs!$B$2),G45*N(M45)/100,0)</f>
        <v/>
      </c>
      <c r="Q45" s="13">
        <f>IF(H45="USD","",_xlfn.MAXIFS(FX!$A$2:$A$100,FX!$B$2:$B$100,H45,FX!$A$2:$A$100,"&lt;="&amp;F45))</f>
        <v/>
      </c>
      <c r="R45" s="15">
        <f>IF(H45="USD",1,SUMIFS(FX!$C$2:$C$100,FX!$A$2:$A$100,Q45,FX!$B$2:$B$100,H45))</f>
        <v/>
      </c>
      <c r="S45" s="14">
        <f>COUNTIF($A$2:A45,A45)=1</f>
        <v/>
      </c>
      <c r="T45" s="14">
        <f>IF(E45="Renewal",Inputs!$B$6,1)</f>
        <v/>
      </c>
      <c r="U45" s="14">
        <f>OR(N(I45)&lt;=Inputs!$B$9,J45&lt;&gt;"")</f>
        <v/>
      </c>
      <c r="V45" s="14">
        <f>IF(L45="",100,IF(N45="",100-M45,N45))</f>
        <v/>
      </c>
      <c r="W45" s="14">
        <f>V45+N(M45)=100</f>
        <v/>
      </c>
      <c r="X45" s="14">
        <f>AND(D45="Closed Won",F45&gt;=Inputs!$B$1,F45&lt;=Inputs!$B$2,S45,U45,W45)</f>
        <v/>
      </c>
      <c r="Y45" s="14">
        <f>IF(X45,G45*R45*T45,0)</f>
        <v/>
      </c>
      <c r="Z45" s="14">
        <f>Y45*V45/100</f>
        <v/>
      </c>
      <c r="AA45" s="14">
        <f>Y45*N(M45)/100</f>
        <v/>
      </c>
      <c r="AB45" s="14">
        <f>IF(AND(X45,K45="Yes",MONTH(F45)=11,Y45&gt;Inputs!$B$8),Inputs!$B$7,0)</f>
        <v/>
      </c>
    </row>
    <row r="46">
      <c r="A46" s="4" t="inlineStr">
        <is>
          <t>OPP-2037</t>
        </is>
      </c>
      <c r="B46" s="4" t="inlineStr">
        <is>
          <t>Larchmont Logistics</t>
        </is>
      </c>
      <c r="C46" s="4" t="inlineStr">
        <is>
          <t>Sarah Chen</t>
        </is>
      </c>
      <c r="D46" s="4" t="inlineStr">
        <is>
          <t>Closed Won</t>
        </is>
      </c>
      <c r="E46" s="4" t="inlineStr">
        <is>
          <t>New Business</t>
        </is>
      </c>
      <c r="F46" s="13" t="n">
        <v>46385</v>
      </c>
      <c r="G46" s="4" t="n">
        <v>27000</v>
      </c>
      <c r="H46" s="4" t="inlineStr">
        <is>
          <t>USD</t>
        </is>
      </c>
      <c r="I46" s="4" t="n">
        <v>10</v>
      </c>
      <c r="J46" s="4" t="n"/>
      <c r="K46" s="4" t="inlineStr">
        <is>
          <t>No</t>
        </is>
      </c>
      <c r="L46" s="4" t="n"/>
      <c r="M46" s="4" t="n"/>
      <c r="N46" s="4" t="n"/>
      <c r="O46" s="14">
        <f>IF(AND(D46="Closed Won",F46&gt;=Inputs!$B$1,F46&lt;=Inputs!$B$2),G46*(1-N(M46)/100),0)</f>
        <v/>
      </c>
      <c r="P46" s="14">
        <f>IF(AND(D46="Closed Won",F46&gt;=Inputs!$B$1,F46&lt;=Inputs!$B$2),G46*N(M46)/100,0)</f>
        <v/>
      </c>
      <c r="Q46" s="13">
        <f>IF(H46="USD","",_xlfn.MAXIFS(FX!$A$2:$A$100,FX!$B$2:$B$100,H46,FX!$A$2:$A$100,"&lt;="&amp;F46))</f>
        <v/>
      </c>
      <c r="R46" s="15">
        <f>IF(H46="USD",1,SUMIFS(FX!$C$2:$C$100,FX!$A$2:$A$100,Q46,FX!$B$2:$B$100,H46))</f>
        <v/>
      </c>
      <c r="S46" s="14">
        <f>COUNTIF($A$2:A46,A46)=1</f>
        <v/>
      </c>
      <c r="T46" s="14">
        <f>IF(E46="Renewal",Inputs!$B$6,1)</f>
        <v/>
      </c>
      <c r="U46" s="14">
        <f>OR(N(I46)&lt;=Inputs!$B$9,J46&lt;&gt;"")</f>
        <v/>
      </c>
      <c r="V46" s="14">
        <f>IF(L46="",100,IF(N46="",100-M46,N46))</f>
        <v/>
      </c>
      <c r="W46" s="14">
        <f>V46+N(M46)=100</f>
        <v/>
      </c>
      <c r="X46" s="14">
        <f>AND(D46="Closed Won",F46&gt;=Inputs!$B$1,F46&lt;=Inputs!$B$2,S46,U46,W46)</f>
        <v/>
      </c>
      <c r="Y46" s="14">
        <f>IF(X46,G46*R46*T46,0)</f>
        <v/>
      </c>
      <c r="Z46" s="14">
        <f>Y46*V46/100</f>
        <v/>
      </c>
      <c r="AA46" s="14">
        <f>Y46*N(M46)/100</f>
        <v/>
      </c>
      <c r="AB46" s="14">
        <f>IF(AND(X46,K46="Yes",MONTH(F46)=11,Y46&gt;Inputs!$B$8),Inputs!$B$7,0)</f>
        <v/>
      </c>
    </row>
    <row r="47">
      <c r="A47" s="4" t="inlineStr">
        <is>
          <t>OPP-2059</t>
        </is>
      </c>
      <c r="B47" s="4" t="inlineStr">
        <is>
          <t>Bell Energy</t>
        </is>
      </c>
      <c r="C47" s="4" t="inlineStr">
        <is>
          <t>Dan Ortiz</t>
        </is>
      </c>
      <c r="D47" s="4" t="inlineStr">
        <is>
          <t>Closed Won</t>
        </is>
      </c>
      <c r="E47" s="4" t="inlineStr">
        <is>
          <t>Expansion</t>
        </is>
      </c>
      <c r="F47" s="13" t="n">
        <v>46354</v>
      </c>
      <c r="G47" s="4" t="n">
        <v>20500</v>
      </c>
      <c r="H47" s="4" t="inlineStr">
        <is>
          <t>USD</t>
        </is>
      </c>
      <c r="I47" s="4" t="n">
        <v>15</v>
      </c>
      <c r="J47" s="4" t="n"/>
      <c r="K47" s="4" t="inlineStr">
        <is>
          <t>No</t>
        </is>
      </c>
      <c r="L47" s="4" t="n"/>
      <c r="M47" s="4" t="n"/>
      <c r="N47" s="4" t="n"/>
      <c r="O47" s="14">
        <f>IF(AND(D47="Closed Won",F47&gt;=Inputs!$B$1,F47&lt;=Inputs!$B$2),G47*(1-N(M47)/100),0)</f>
        <v/>
      </c>
      <c r="P47" s="14">
        <f>IF(AND(D47="Closed Won",F47&gt;=Inputs!$B$1,F47&lt;=Inputs!$B$2),G47*N(M47)/100,0)</f>
        <v/>
      </c>
      <c r="Q47" s="13">
        <f>IF(H47="USD","",_xlfn.MAXIFS(FX!$A$2:$A$100,FX!$B$2:$B$100,H47,FX!$A$2:$A$100,"&lt;="&amp;F47))</f>
        <v/>
      </c>
      <c r="R47" s="15">
        <f>IF(H47="USD",1,SUMIFS(FX!$C$2:$C$100,FX!$A$2:$A$100,Q47,FX!$B$2:$B$100,H47))</f>
        <v/>
      </c>
      <c r="S47" s="14">
        <f>COUNTIF($A$2:A47,A47)=1</f>
        <v/>
      </c>
      <c r="T47" s="14">
        <f>IF(E47="Renewal",Inputs!$B$6,1)</f>
        <v/>
      </c>
      <c r="U47" s="14">
        <f>OR(N(I47)&lt;=Inputs!$B$9,J47&lt;&gt;"")</f>
        <v/>
      </c>
      <c r="V47" s="14">
        <f>IF(L47="",100,IF(N47="",100-M47,N47))</f>
        <v/>
      </c>
      <c r="W47" s="14">
        <f>V47+N(M47)=100</f>
        <v/>
      </c>
      <c r="X47" s="14">
        <f>AND(D47="Closed Won",F47&gt;=Inputs!$B$1,F47&lt;=Inputs!$B$2,S47,U47,W47)</f>
        <v/>
      </c>
      <c r="Y47" s="14">
        <f>IF(X47,G47*R47*T47,0)</f>
        <v/>
      </c>
      <c r="Z47" s="14">
        <f>Y47*V47/100</f>
        <v/>
      </c>
      <c r="AA47" s="14">
        <f>Y47*N(M47)/100</f>
        <v/>
      </c>
      <c r="AB47" s="14">
        <f>IF(AND(X47,K47="Yes",MONTH(F47)=11,Y47&gt;Inputs!$B$8),Inputs!$B$7,0)</f>
        <v/>
      </c>
    </row>
    <row r="48">
      <c r="A48" s="4" t="inlineStr">
        <is>
          <t>OPP-2022</t>
        </is>
      </c>
      <c r="B48" s="4" t="inlineStr">
        <is>
          <t>Marlow Energy</t>
        </is>
      </c>
      <c r="C48" s="4" t="inlineStr">
        <is>
          <t>Tyler Brooks</t>
        </is>
      </c>
      <c r="D48" s="4" t="inlineStr">
        <is>
          <t>Closed Won</t>
        </is>
      </c>
      <c r="E48" s="4" t="inlineStr">
        <is>
          <t>Renewal</t>
        </is>
      </c>
      <c r="F48" s="13" t="n">
        <v>46340</v>
      </c>
      <c r="G48" s="4" t="n">
        <v>21500</v>
      </c>
      <c r="H48" s="4" t="inlineStr">
        <is>
          <t>USD</t>
        </is>
      </c>
      <c r="I48" s="4" t="n">
        <v>0</v>
      </c>
      <c r="J48" s="4" t="n"/>
      <c r="K48" s="4" t="inlineStr">
        <is>
          <t>No</t>
        </is>
      </c>
      <c r="L48" s="4" t="n"/>
      <c r="M48" s="4" t="n"/>
      <c r="N48" s="4" t="n"/>
      <c r="O48" s="14">
        <f>IF(AND(D48="Closed Won",F48&gt;=Inputs!$B$1,F48&lt;=Inputs!$B$2),G48*(1-N(M48)/100),0)</f>
        <v/>
      </c>
      <c r="P48" s="14">
        <f>IF(AND(D48="Closed Won",F48&gt;=Inputs!$B$1,F48&lt;=Inputs!$B$2),G48*N(M48)/100,0)</f>
        <v/>
      </c>
      <c r="Q48" s="13">
        <f>IF(H48="USD","",_xlfn.MAXIFS(FX!$A$2:$A$100,FX!$B$2:$B$100,H48,FX!$A$2:$A$100,"&lt;="&amp;F48))</f>
        <v/>
      </c>
      <c r="R48" s="15">
        <f>IF(H48="USD",1,SUMIFS(FX!$C$2:$C$100,FX!$A$2:$A$100,Q48,FX!$B$2:$B$100,H48))</f>
        <v/>
      </c>
      <c r="S48" s="14">
        <f>COUNTIF($A$2:A48,A48)=1</f>
        <v/>
      </c>
      <c r="T48" s="14">
        <f>IF(E48="Renewal",Inputs!$B$6,1)</f>
        <v/>
      </c>
      <c r="U48" s="14">
        <f>OR(N(I48)&lt;=Inputs!$B$9,J48&lt;&gt;"")</f>
        <v/>
      </c>
      <c r="V48" s="14">
        <f>IF(L48="",100,IF(N48="",100-M48,N48))</f>
        <v/>
      </c>
      <c r="W48" s="14">
        <f>V48+N(M48)=100</f>
        <v/>
      </c>
      <c r="X48" s="14">
        <f>AND(D48="Closed Won",F48&gt;=Inputs!$B$1,F48&lt;=Inputs!$B$2,S48,U48,W48)</f>
        <v/>
      </c>
      <c r="Y48" s="14">
        <f>IF(X48,G48*R48*T48,0)</f>
        <v/>
      </c>
      <c r="Z48" s="14">
        <f>Y48*V48/100</f>
        <v/>
      </c>
      <c r="AA48" s="14">
        <f>Y48*N(M48)/100</f>
        <v/>
      </c>
      <c r="AB48" s="14">
        <f>IF(AND(X48,K48="Yes",MONTH(F48)=11,Y48&gt;Inputs!$B$8),Inputs!$B$7,0)</f>
        <v/>
      </c>
    </row>
    <row r="49">
      <c r="A49" s="4" t="inlineStr">
        <is>
          <t>OPP-2007</t>
        </is>
      </c>
      <c r="B49" s="4" t="inlineStr">
        <is>
          <t>Fairlow Retail</t>
        </is>
      </c>
      <c r="C49" s="4" t="inlineStr">
        <is>
          <t>Priya Shah</t>
        </is>
      </c>
      <c r="D49" s="4" t="inlineStr">
        <is>
          <t>Closed Won</t>
        </is>
      </c>
      <c r="E49" s="4" t="inlineStr">
        <is>
          <t>Expansion</t>
        </is>
      </c>
      <c r="F49" s="13" t="n">
        <v>46296</v>
      </c>
      <c r="G49" s="4" t="n">
        <v>30500</v>
      </c>
      <c r="H49" s="4" t="inlineStr">
        <is>
          <t>USD</t>
        </is>
      </c>
      <c r="I49" s="4" t="n">
        <v>5</v>
      </c>
      <c r="J49" s="4" t="n"/>
      <c r="K49" s="4" t="inlineStr">
        <is>
          <t>No</t>
        </is>
      </c>
      <c r="L49" s="4" t="n"/>
      <c r="M49" s="4" t="n"/>
      <c r="N49" s="4" t="n"/>
      <c r="O49" s="14">
        <f>IF(AND(D49="Closed Won",F49&gt;=Inputs!$B$1,F49&lt;=Inputs!$B$2),G49*(1-N(M49)/100),0)</f>
        <v/>
      </c>
      <c r="P49" s="14">
        <f>IF(AND(D49="Closed Won",F49&gt;=Inputs!$B$1,F49&lt;=Inputs!$B$2),G49*N(M49)/100,0)</f>
        <v/>
      </c>
      <c r="Q49" s="13">
        <f>IF(H49="USD","",_xlfn.MAXIFS(FX!$A$2:$A$100,FX!$B$2:$B$100,H49,FX!$A$2:$A$100,"&lt;="&amp;F49))</f>
        <v/>
      </c>
      <c r="R49" s="15">
        <f>IF(H49="USD",1,SUMIFS(FX!$C$2:$C$100,FX!$A$2:$A$100,Q49,FX!$B$2:$B$100,H49))</f>
        <v/>
      </c>
      <c r="S49" s="14">
        <f>COUNTIF($A$2:A49,A49)=1</f>
        <v/>
      </c>
      <c r="T49" s="14">
        <f>IF(E49="Renewal",Inputs!$B$6,1)</f>
        <v/>
      </c>
      <c r="U49" s="14">
        <f>OR(N(I49)&lt;=Inputs!$B$9,J49&lt;&gt;"")</f>
        <v/>
      </c>
      <c r="V49" s="14">
        <f>IF(L49="",100,IF(N49="",100-M49,N49))</f>
        <v/>
      </c>
      <c r="W49" s="14">
        <f>V49+N(M49)=100</f>
        <v/>
      </c>
      <c r="X49" s="14">
        <f>AND(D49="Closed Won",F49&gt;=Inputs!$B$1,F49&lt;=Inputs!$B$2,S49,U49,W49)</f>
        <v/>
      </c>
      <c r="Y49" s="14">
        <f>IF(X49,G49*R49*T49,0)</f>
        <v/>
      </c>
      <c r="Z49" s="14">
        <f>Y49*V49/100</f>
        <v/>
      </c>
      <c r="AA49" s="14">
        <f>Y49*N(M49)/100</f>
        <v/>
      </c>
      <c r="AB49" s="14">
        <f>IF(AND(X49,K49="Yes",MONTH(F49)=11,Y49&gt;Inputs!$B$8),Inputs!$B$7,0)</f>
        <v/>
      </c>
    </row>
    <row r="50">
      <c r="A50" s="4" t="inlineStr">
        <is>
          <t>OPP-2028</t>
        </is>
      </c>
      <c r="B50" s="4" t="inlineStr">
        <is>
          <t>Ostrand Analytics</t>
        </is>
      </c>
      <c r="C50" s="4" t="inlineStr">
        <is>
          <t>Tyler Brooks</t>
        </is>
      </c>
      <c r="D50" s="4" t="inlineStr">
        <is>
          <t>Closed Won</t>
        </is>
      </c>
      <c r="E50" s="4" t="inlineStr">
        <is>
          <t>New Business</t>
        </is>
      </c>
      <c r="F50" s="13" t="n">
        <v>46308</v>
      </c>
      <c r="G50" s="4" t="n">
        <v>33000</v>
      </c>
      <c r="H50" s="4" t="inlineStr">
        <is>
          <t>USD</t>
        </is>
      </c>
      <c r="I50" s="4" t="n">
        <v>0</v>
      </c>
      <c r="J50" s="4" t="n"/>
      <c r="K50" s="4" t="inlineStr">
        <is>
          <t>No</t>
        </is>
      </c>
      <c r="L50" s="4" t="n"/>
      <c r="M50" s="4" t="n"/>
      <c r="N50" s="4" t="n"/>
      <c r="O50" s="14">
        <f>IF(AND(D50="Closed Won",F50&gt;=Inputs!$B$1,F50&lt;=Inputs!$B$2),G50*(1-N(M50)/100),0)</f>
        <v/>
      </c>
      <c r="P50" s="14">
        <f>IF(AND(D50="Closed Won",F50&gt;=Inputs!$B$1,F50&lt;=Inputs!$B$2),G50*N(M50)/100,0)</f>
        <v/>
      </c>
      <c r="Q50" s="13">
        <f>IF(H50="USD","",_xlfn.MAXIFS(FX!$A$2:$A$100,FX!$B$2:$B$100,H50,FX!$A$2:$A$100,"&lt;="&amp;F50))</f>
        <v/>
      </c>
      <c r="R50" s="15">
        <f>IF(H50="USD",1,SUMIFS(FX!$C$2:$C$100,FX!$A$2:$A$100,Q50,FX!$B$2:$B$100,H50))</f>
        <v/>
      </c>
      <c r="S50" s="14">
        <f>COUNTIF($A$2:A50,A50)=1</f>
        <v/>
      </c>
      <c r="T50" s="14">
        <f>IF(E50="Renewal",Inputs!$B$6,1)</f>
        <v/>
      </c>
      <c r="U50" s="14">
        <f>OR(N(I50)&lt;=Inputs!$B$9,J50&lt;&gt;"")</f>
        <v/>
      </c>
      <c r="V50" s="14">
        <f>IF(L50="",100,IF(N50="",100-M50,N50))</f>
        <v/>
      </c>
      <c r="W50" s="14">
        <f>V50+N(M50)=100</f>
        <v/>
      </c>
      <c r="X50" s="14">
        <f>AND(D50="Closed Won",F50&gt;=Inputs!$B$1,F50&lt;=Inputs!$B$2,S50,U50,W50)</f>
        <v/>
      </c>
      <c r="Y50" s="14">
        <f>IF(X50,G50*R50*T50,0)</f>
        <v/>
      </c>
      <c r="Z50" s="14">
        <f>Y50*V50/100</f>
        <v/>
      </c>
      <c r="AA50" s="14">
        <f>Y50*N(M50)/100</f>
        <v/>
      </c>
      <c r="AB50" s="14">
        <f>IF(AND(X50,K50="Yes",MONTH(F50)=11,Y50&gt;Inputs!$B$8),Inputs!$B$7,0)</f>
        <v/>
      </c>
    </row>
    <row r="51">
      <c r="A51" s="4" t="inlineStr">
        <is>
          <t>OPP-2066</t>
        </is>
      </c>
      <c r="B51" s="4" t="inlineStr">
        <is>
          <t>Juniper Labs</t>
        </is>
      </c>
      <c r="C51" s="4" t="inlineStr">
        <is>
          <t>Dan Ortiz</t>
        </is>
      </c>
      <c r="D51" s="4" t="inlineStr">
        <is>
          <t>Closed Won</t>
        </is>
      </c>
      <c r="E51" s="4" t="inlineStr">
        <is>
          <t>New Business</t>
        </is>
      </c>
      <c r="F51" s="13" t="n">
        <v>46365</v>
      </c>
      <c r="G51" s="4" t="n">
        <v>45000</v>
      </c>
      <c r="H51" s="4" t="inlineStr">
        <is>
          <t>USD</t>
        </is>
      </c>
      <c r="I51" s="4" t="n">
        <v>25</v>
      </c>
      <c r="J51" s="4" t="n"/>
      <c r="K51" s="4" t="inlineStr">
        <is>
          <t>No</t>
        </is>
      </c>
      <c r="L51" s="4" t="n"/>
      <c r="M51" s="4" t="n"/>
      <c r="N51" s="4" t="n"/>
      <c r="O51" s="14">
        <f>IF(AND(D51="Closed Won",F51&gt;=Inputs!$B$1,F51&lt;=Inputs!$B$2),G51*(1-N(M51)/100),0)</f>
        <v/>
      </c>
      <c r="P51" s="14">
        <f>IF(AND(D51="Closed Won",F51&gt;=Inputs!$B$1,F51&lt;=Inputs!$B$2),G51*N(M51)/100,0)</f>
        <v/>
      </c>
      <c r="Q51" s="13">
        <f>IF(H51="USD","",_xlfn.MAXIFS(FX!$A$2:$A$100,FX!$B$2:$B$100,H51,FX!$A$2:$A$100,"&lt;="&amp;F51))</f>
        <v/>
      </c>
      <c r="R51" s="15">
        <f>IF(H51="USD",1,SUMIFS(FX!$C$2:$C$100,FX!$A$2:$A$100,Q51,FX!$B$2:$B$100,H51))</f>
        <v/>
      </c>
      <c r="S51" s="14">
        <f>COUNTIF($A$2:A51,A51)=1</f>
        <v/>
      </c>
      <c r="T51" s="14">
        <f>IF(E51="Renewal",Inputs!$B$6,1)</f>
        <v/>
      </c>
      <c r="U51" s="14">
        <f>OR(N(I51)&lt;=Inputs!$B$9,J51&lt;&gt;"")</f>
        <v/>
      </c>
      <c r="V51" s="14">
        <f>IF(L51="",100,IF(N51="",100-M51,N51))</f>
        <v/>
      </c>
      <c r="W51" s="14">
        <f>V51+N(M51)=100</f>
        <v/>
      </c>
      <c r="X51" s="14">
        <f>AND(D51="Closed Won",F51&gt;=Inputs!$B$1,F51&lt;=Inputs!$B$2,S51,U51,W51)</f>
        <v/>
      </c>
      <c r="Y51" s="14">
        <f>IF(X51,G51*R51*T51,0)</f>
        <v/>
      </c>
      <c r="Z51" s="14">
        <f>Y51*V51/100</f>
        <v/>
      </c>
      <c r="AA51" s="14">
        <f>Y51*N(M51)/100</f>
        <v/>
      </c>
      <c r="AB51" s="14">
        <f>IF(AND(X51,K51="Yes",MONTH(F51)=11,Y51&gt;Inputs!$B$8),Inputs!$B$7,0)</f>
        <v/>
      </c>
    </row>
    <row r="52">
      <c r="A52" s="4" t="inlineStr">
        <is>
          <t>OPP-2029</t>
        </is>
      </c>
      <c r="B52" s="4" t="inlineStr">
        <is>
          <t>Orrin Freight</t>
        </is>
      </c>
      <c r="C52" s="4" t="inlineStr">
        <is>
          <t>Sarah Chen</t>
        </is>
      </c>
      <c r="D52" s="4" t="inlineStr">
        <is>
          <t>Closed Won</t>
        </is>
      </c>
      <c r="E52" s="4" t="inlineStr">
        <is>
          <t>Renewal</t>
        </is>
      </c>
      <c r="F52" s="13" t="n">
        <v>46305</v>
      </c>
      <c r="G52" s="4" t="n">
        <v>27500</v>
      </c>
      <c r="H52" s="4" t="inlineStr">
        <is>
          <t>USD</t>
        </is>
      </c>
      <c r="I52" s="4" t="n">
        <v>0</v>
      </c>
      <c r="J52" s="4" t="n"/>
      <c r="K52" s="4" t="inlineStr">
        <is>
          <t>No</t>
        </is>
      </c>
      <c r="L52" s="4" t="n"/>
      <c r="M52" s="4" t="n"/>
      <c r="N52" s="4" t="n"/>
      <c r="O52" s="14">
        <f>IF(AND(D52="Closed Won",F52&gt;=Inputs!$B$1,F52&lt;=Inputs!$B$2),G52*(1-N(M52)/100),0)</f>
        <v/>
      </c>
      <c r="P52" s="14">
        <f>IF(AND(D52="Closed Won",F52&gt;=Inputs!$B$1,F52&lt;=Inputs!$B$2),G52*N(M52)/100,0)</f>
        <v/>
      </c>
      <c r="Q52" s="13">
        <f>IF(H52="USD","",_xlfn.MAXIFS(FX!$A$2:$A$100,FX!$B$2:$B$100,H52,FX!$A$2:$A$100,"&lt;="&amp;F52))</f>
        <v/>
      </c>
      <c r="R52" s="15">
        <f>IF(H52="USD",1,SUMIFS(FX!$C$2:$C$100,FX!$A$2:$A$100,Q52,FX!$B$2:$B$100,H52))</f>
        <v/>
      </c>
      <c r="S52" s="14">
        <f>COUNTIF($A$2:A52,A52)=1</f>
        <v/>
      </c>
      <c r="T52" s="14">
        <f>IF(E52="Renewal",Inputs!$B$6,1)</f>
        <v/>
      </c>
      <c r="U52" s="14">
        <f>OR(N(I52)&lt;=Inputs!$B$9,J52&lt;&gt;"")</f>
        <v/>
      </c>
      <c r="V52" s="14">
        <f>IF(L52="",100,IF(N52="",100-M52,N52))</f>
        <v/>
      </c>
      <c r="W52" s="14">
        <f>V52+N(M52)=100</f>
        <v/>
      </c>
      <c r="X52" s="14">
        <f>AND(D52="Closed Won",F52&gt;=Inputs!$B$1,F52&lt;=Inputs!$B$2,S52,U52,W52)</f>
        <v/>
      </c>
      <c r="Y52" s="14">
        <f>IF(X52,G52*R52*T52,0)</f>
        <v/>
      </c>
      <c r="Z52" s="14">
        <f>Y52*V52/100</f>
        <v/>
      </c>
      <c r="AA52" s="14">
        <f>Y52*N(M52)/100</f>
        <v/>
      </c>
      <c r="AB52" s="14">
        <f>IF(AND(X52,K52="Yes",MONTH(F52)=11,Y52&gt;Inputs!$B$8),Inputs!$B$7,0)</f>
        <v/>
      </c>
    </row>
    <row r="53">
      <c r="A53" s="4" t="inlineStr">
        <is>
          <t>OPP-2071</t>
        </is>
      </c>
      <c r="B53" s="4" t="inlineStr">
        <is>
          <t>Kestrel Energy</t>
        </is>
      </c>
      <c r="C53" s="4" t="inlineStr">
        <is>
          <t>Ana Lima</t>
        </is>
      </c>
      <c r="D53" s="4" t="inlineStr">
        <is>
          <t>Closed Won</t>
        </is>
      </c>
      <c r="E53" s="4" t="inlineStr">
        <is>
          <t>New Business</t>
        </is>
      </c>
      <c r="F53" s="13" t="n">
        <v>46322</v>
      </c>
      <c r="G53" s="4" t="n">
        <v>60000</v>
      </c>
      <c r="H53" s="4" t="inlineStr">
        <is>
          <t>USD</t>
        </is>
      </c>
      <c r="I53" s="4" t="n">
        <v>0</v>
      </c>
      <c r="J53" s="4" t="n"/>
      <c r="K53" s="4" t="inlineStr">
        <is>
          <t>Yes</t>
        </is>
      </c>
      <c r="L53" s="4" t="n"/>
      <c r="M53" s="4" t="n"/>
      <c r="N53" s="4" t="n"/>
      <c r="O53" s="14">
        <f>IF(AND(D53="Closed Won",F53&gt;=Inputs!$B$1,F53&lt;=Inputs!$B$2),G53*(1-N(M53)/100),0)</f>
        <v/>
      </c>
      <c r="P53" s="14">
        <f>IF(AND(D53="Closed Won",F53&gt;=Inputs!$B$1,F53&lt;=Inputs!$B$2),G53*N(M53)/100,0)</f>
        <v/>
      </c>
      <c r="Q53" s="13">
        <f>IF(H53="USD","",_xlfn.MAXIFS(FX!$A$2:$A$100,FX!$B$2:$B$100,H53,FX!$A$2:$A$100,"&lt;="&amp;F53))</f>
        <v/>
      </c>
      <c r="R53" s="15">
        <f>IF(H53="USD",1,SUMIFS(FX!$C$2:$C$100,FX!$A$2:$A$100,Q53,FX!$B$2:$B$100,H53))</f>
        <v/>
      </c>
      <c r="S53" s="14">
        <f>COUNTIF($A$2:A53,A53)=1</f>
        <v/>
      </c>
      <c r="T53" s="14">
        <f>IF(E53="Renewal",Inputs!$B$6,1)</f>
        <v/>
      </c>
      <c r="U53" s="14">
        <f>OR(N(I53)&lt;=Inputs!$B$9,J53&lt;&gt;"")</f>
        <v/>
      </c>
      <c r="V53" s="14">
        <f>IF(L53="",100,IF(N53="",100-M53,N53))</f>
        <v/>
      </c>
      <c r="W53" s="14">
        <f>V53+N(M53)=100</f>
        <v/>
      </c>
      <c r="X53" s="14">
        <f>AND(D53="Closed Won",F53&gt;=Inputs!$B$1,F53&lt;=Inputs!$B$2,S53,U53,W53)</f>
        <v/>
      </c>
      <c r="Y53" s="14">
        <f>IF(X53,G53*R53*T53,0)</f>
        <v/>
      </c>
      <c r="Z53" s="14">
        <f>Y53*V53/100</f>
        <v/>
      </c>
      <c r="AA53" s="14">
        <f>Y53*N(M53)/100</f>
        <v/>
      </c>
      <c r="AB53" s="14">
        <f>IF(AND(X53,K53="Yes",MONTH(F53)=11,Y53&gt;Inputs!$B$8),Inputs!$B$7,0)</f>
        <v/>
      </c>
    </row>
    <row r="54">
      <c r="A54" s="4" t="inlineStr">
        <is>
          <t>OPP-2045</t>
        </is>
      </c>
      <c r="B54" s="4" t="inlineStr">
        <is>
          <t>Juniper Dental</t>
        </is>
      </c>
      <c r="C54" s="4" t="inlineStr">
        <is>
          <t>Marcus Reed</t>
        </is>
      </c>
      <c r="D54" s="4" t="inlineStr">
        <is>
          <t>Closed Won</t>
        </is>
      </c>
      <c r="E54" s="4" t="inlineStr">
        <is>
          <t>Expansion</t>
        </is>
      </c>
      <c r="F54" s="13" t="n">
        <v>46368</v>
      </c>
      <c r="G54" s="4" t="n">
        <v>30000</v>
      </c>
      <c r="H54" s="4" t="inlineStr">
        <is>
          <t>USD</t>
        </is>
      </c>
      <c r="I54" s="4" t="n">
        <v>5</v>
      </c>
      <c r="J54" s="4" t="n"/>
      <c r="K54" s="4" t="inlineStr">
        <is>
          <t>No</t>
        </is>
      </c>
      <c r="L54" s="4" t="n"/>
      <c r="M54" s="4" t="n"/>
      <c r="N54" s="4" t="n"/>
      <c r="O54" s="14">
        <f>IF(AND(D54="Closed Won",F54&gt;=Inputs!$B$1,F54&lt;=Inputs!$B$2),G54*(1-N(M54)/100),0)</f>
        <v/>
      </c>
      <c r="P54" s="14">
        <f>IF(AND(D54="Closed Won",F54&gt;=Inputs!$B$1,F54&lt;=Inputs!$B$2),G54*N(M54)/100,0)</f>
        <v/>
      </c>
      <c r="Q54" s="13">
        <f>IF(H54="USD","",_xlfn.MAXIFS(FX!$A$2:$A$100,FX!$B$2:$B$100,H54,FX!$A$2:$A$100,"&lt;="&amp;F54))</f>
        <v/>
      </c>
      <c r="R54" s="15">
        <f>IF(H54="USD",1,SUMIFS(FX!$C$2:$C$100,FX!$A$2:$A$100,Q54,FX!$B$2:$B$100,H54))</f>
        <v/>
      </c>
      <c r="S54" s="14">
        <f>COUNTIF($A$2:A54,A54)=1</f>
        <v/>
      </c>
      <c r="T54" s="14">
        <f>IF(E54="Renewal",Inputs!$B$6,1)</f>
        <v/>
      </c>
      <c r="U54" s="14">
        <f>OR(N(I54)&lt;=Inputs!$B$9,J54&lt;&gt;"")</f>
        <v/>
      </c>
      <c r="V54" s="14">
        <f>IF(L54="",100,IF(N54="",100-M54,N54))</f>
        <v/>
      </c>
      <c r="W54" s="14">
        <f>V54+N(M54)=100</f>
        <v/>
      </c>
      <c r="X54" s="14">
        <f>AND(D54="Closed Won",F54&gt;=Inputs!$B$1,F54&lt;=Inputs!$B$2,S54,U54,W54)</f>
        <v/>
      </c>
      <c r="Y54" s="14">
        <f>IF(X54,G54*R54*T54,0)</f>
        <v/>
      </c>
      <c r="Z54" s="14">
        <f>Y54*V54/100</f>
        <v/>
      </c>
      <c r="AA54" s="14">
        <f>Y54*N(M54)/100</f>
        <v/>
      </c>
      <c r="AB54" s="14">
        <f>IF(AND(X54,K54="Yes",MONTH(F54)=11,Y54&gt;Inputs!$B$8),Inputs!$B$7,0)</f>
        <v/>
      </c>
    </row>
    <row r="55">
      <c r="A55" s="4" t="inlineStr">
        <is>
          <t>OPP-2092</t>
        </is>
      </c>
      <c r="B55" s="4" t="inlineStr">
        <is>
          <t>Northgate Freight</t>
        </is>
      </c>
      <c r="C55" s="4" t="inlineStr">
        <is>
          <t>Sarah Chen</t>
        </is>
      </c>
      <c r="D55" s="4" t="inlineStr">
        <is>
          <t>Negotiation</t>
        </is>
      </c>
      <c r="E55" s="4" t="inlineStr">
        <is>
          <t>New Business</t>
        </is>
      </c>
      <c r="F55" s="13" t="n">
        <v>46321</v>
      </c>
      <c r="G55" s="4" t="n">
        <v>52000</v>
      </c>
      <c r="H55" s="4" t="inlineStr">
        <is>
          <t>USD</t>
        </is>
      </c>
      <c r="I55" s="4" t="n">
        <v>0</v>
      </c>
      <c r="J55" s="4" t="n"/>
      <c r="K55" s="4" t="inlineStr">
        <is>
          <t>No</t>
        </is>
      </c>
      <c r="L55" s="4" t="n"/>
      <c r="M55" s="4" t="n"/>
      <c r="N55" s="4" t="n"/>
      <c r="O55" s="14">
        <f>IF(AND(D55="Closed Won",F55&gt;=Inputs!$B$1,F55&lt;=Inputs!$B$2),G55*(1-N(M55)/100),0)</f>
        <v/>
      </c>
      <c r="P55" s="14">
        <f>IF(AND(D55="Closed Won",F55&gt;=Inputs!$B$1,F55&lt;=Inputs!$B$2),G55*N(M55)/100,0)</f>
        <v/>
      </c>
      <c r="Q55" s="13">
        <f>IF(H55="USD","",_xlfn.MAXIFS(FX!$A$2:$A$100,FX!$B$2:$B$100,H55,FX!$A$2:$A$100,"&lt;="&amp;F55))</f>
        <v/>
      </c>
      <c r="R55" s="15">
        <f>IF(H55="USD",1,SUMIFS(FX!$C$2:$C$100,FX!$A$2:$A$100,Q55,FX!$B$2:$B$100,H55))</f>
        <v/>
      </c>
      <c r="S55" s="14">
        <f>COUNTIF($A$2:A55,A55)=1</f>
        <v/>
      </c>
      <c r="T55" s="14">
        <f>IF(E55="Renewal",Inputs!$B$6,1)</f>
        <v/>
      </c>
      <c r="U55" s="14">
        <f>OR(N(I55)&lt;=Inputs!$B$9,J55&lt;&gt;"")</f>
        <v/>
      </c>
      <c r="V55" s="14">
        <f>IF(L55="",100,IF(N55="",100-M55,N55))</f>
        <v/>
      </c>
      <c r="W55" s="14">
        <f>V55+N(M55)=100</f>
        <v/>
      </c>
      <c r="X55" s="14">
        <f>AND(D55="Closed Won",F55&gt;=Inputs!$B$1,F55&lt;=Inputs!$B$2,S55,U55,W55)</f>
        <v/>
      </c>
      <c r="Y55" s="14">
        <f>IF(X55,G55*R55*T55,0)</f>
        <v/>
      </c>
      <c r="Z55" s="14">
        <f>Y55*V55/100</f>
        <v/>
      </c>
      <c r="AA55" s="14">
        <f>Y55*N(M55)/100</f>
        <v/>
      </c>
      <c r="AB55" s="14">
        <f>IF(AND(X55,K55="Yes",MONTH(F55)=11,Y55&gt;Inputs!$B$8),Inputs!$B$7,0)</f>
        <v/>
      </c>
    </row>
    <row r="56">
      <c r="A56" s="4" t="inlineStr">
        <is>
          <t>OPP-2051</t>
        </is>
      </c>
      <c r="B56" s="4" t="inlineStr">
        <is>
          <t>Dunmore Logistics</t>
        </is>
      </c>
      <c r="C56" s="4" t="inlineStr">
        <is>
          <t>Marcus Reed</t>
        </is>
      </c>
      <c r="D56" s="4" t="inlineStr">
        <is>
          <t>Closed Won</t>
        </is>
      </c>
      <c r="E56" s="4" t="inlineStr">
        <is>
          <t>New Business</t>
        </is>
      </c>
      <c r="F56" s="13" t="n">
        <v>46312</v>
      </c>
      <c r="G56" s="4" t="n">
        <v>20000</v>
      </c>
      <c r="H56" s="4" t="inlineStr">
        <is>
          <t>USD</t>
        </is>
      </c>
      <c r="I56" s="4" t="n">
        <v>10</v>
      </c>
      <c r="J56" s="4" t="n"/>
      <c r="K56" s="4" t="inlineStr">
        <is>
          <t>No</t>
        </is>
      </c>
      <c r="L56" s="4" t="n"/>
      <c r="M56" s="4" t="n"/>
      <c r="N56" s="4" t="n"/>
      <c r="O56" s="14">
        <f>IF(AND(D56="Closed Won",F56&gt;=Inputs!$B$1,F56&lt;=Inputs!$B$2),G56*(1-N(M56)/100),0)</f>
        <v/>
      </c>
      <c r="P56" s="14">
        <f>IF(AND(D56="Closed Won",F56&gt;=Inputs!$B$1,F56&lt;=Inputs!$B$2),G56*N(M56)/100,0)</f>
        <v/>
      </c>
      <c r="Q56" s="13">
        <f>IF(H56="USD","",_xlfn.MAXIFS(FX!$A$2:$A$100,FX!$B$2:$B$100,H56,FX!$A$2:$A$100,"&lt;="&amp;F56))</f>
        <v/>
      </c>
      <c r="R56" s="15">
        <f>IF(H56="USD",1,SUMIFS(FX!$C$2:$C$100,FX!$A$2:$A$100,Q56,FX!$B$2:$B$100,H56))</f>
        <v/>
      </c>
      <c r="S56" s="14">
        <f>COUNTIF($A$2:A56,A56)=1</f>
        <v/>
      </c>
      <c r="T56" s="14">
        <f>IF(E56="Renewal",Inputs!$B$6,1)</f>
        <v/>
      </c>
      <c r="U56" s="14">
        <f>OR(N(I56)&lt;=Inputs!$B$9,J56&lt;&gt;"")</f>
        <v/>
      </c>
      <c r="V56" s="14">
        <f>IF(L56="",100,IF(N56="",100-M56,N56))</f>
        <v/>
      </c>
      <c r="W56" s="14">
        <f>V56+N(M56)=100</f>
        <v/>
      </c>
      <c r="X56" s="14">
        <f>AND(D56="Closed Won",F56&gt;=Inputs!$B$1,F56&lt;=Inputs!$B$2,S56,U56,W56)</f>
        <v/>
      </c>
      <c r="Y56" s="14">
        <f>IF(X56,G56*R56*T56,0)</f>
        <v/>
      </c>
      <c r="Z56" s="14">
        <f>Y56*V56/100</f>
        <v/>
      </c>
      <c r="AA56" s="14">
        <f>Y56*N(M56)/100</f>
        <v/>
      </c>
      <c r="AB56" s="14">
        <f>IF(AND(X56,K56="Yes",MONTH(F56)=11,Y56&gt;Inputs!$B$8),Inputs!$B$7,0)</f>
        <v/>
      </c>
    </row>
    <row r="57">
      <c r="A57" s="4" t="inlineStr">
        <is>
          <t>OPP-2073</t>
        </is>
      </c>
      <c r="B57" s="4" t="inlineStr">
        <is>
          <t>Mireval Retail</t>
        </is>
      </c>
      <c r="C57" s="4" t="inlineStr">
        <is>
          <t>Ana Lima</t>
        </is>
      </c>
      <c r="D57" s="4" t="inlineStr">
        <is>
          <t>Closed Won</t>
        </is>
      </c>
      <c r="E57" s="4" t="inlineStr">
        <is>
          <t>New Business</t>
        </is>
      </c>
      <c r="F57" s="13" t="n">
        <v>46356</v>
      </c>
      <c r="G57" s="4" t="n">
        <v>51000</v>
      </c>
      <c r="H57" s="4" t="inlineStr">
        <is>
          <t>USD</t>
        </is>
      </c>
      <c r="I57" s="4" t="n">
        <v>0</v>
      </c>
      <c r="J57" s="4" t="n"/>
      <c r="K57" s="4" t="inlineStr">
        <is>
          <t>Yes</t>
        </is>
      </c>
      <c r="L57" s="4" t="n"/>
      <c r="M57" s="4" t="n"/>
      <c r="N57" s="4" t="n"/>
      <c r="O57" s="14">
        <f>IF(AND(D57="Closed Won",F57&gt;=Inputs!$B$1,F57&lt;=Inputs!$B$2),G57*(1-N(M57)/100),0)</f>
        <v/>
      </c>
      <c r="P57" s="14">
        <f>IF(AND(D57="Closed Won",F57&gt;=Inputs!$B$1,F57&lt;=Inputs!$B$2),G57*N(M57)/100,0)</f>
        <v/>
      </c>
      <c r="Q57" s="13">
        <f>IF(H57="USD","",_xlfn.MAXIFS(FX!$A$2:$A$100,FX!$B$2:$B$100,H57,FX!$A$2:$A$100,"&lt;="&amp;F57))</f>
        <v/>
      </c>
      <c r="R57" s="15">
        <f>IF(H57="USD",1,SUMIFS(FX!$C$2:$C$100,FX!$A$2:$A$100,Q57,FX!$B$2:$B$100,H57))</f>
        <v/>
      </c>
      <c r="S57" s="14">
        <f>COUNTIF($A$2:A57,A57)=1</f>
        <v/>
      </c>
      <c r="T57" s="14">
        <f>IF(E57="Renewal",Inputs!$B$6,1)</f>
        <v/>
      </c>
      <c r="U57" s="14">
        <f>OR(N(I57)&lt;=Inputs!$B$9,J57&lt;&gt;"")</f>
        <v/>
      </c>
      <c r="V57" s="14">
        <f>IF(L57="",100,IF(N57="",100-M57,N57))</f>
        <v/>
      </c>
      <c r="W57" s="14">
        <f>V57+N(M57)=100</f>
        <v/>
      </c>
      <c r="X57" s="14">
        <f>AND(D57="Closed Won",F57&gt;=Inputs!$B$1,F57&lt;=Inputs!$B$2,S57,U57,W57)</f>
        <v/>
      </c>
      <c r="Y57" s="14">
        <f>IF(X57,G57*R57*T57,0)</f>
        <v/>
      </c>
      <c r="Z57" s="14">
        <f>Y57*V57/100</f>
        <v/>
      </c>
      <c r="AA57" s="14">
        <f>Y57*N(M57)/100</f>
        <v/>
      </c>
      <c r="AB57" s="14">
        <f>IF(AND(X57,K57="Yes",MONTH(F57)=11,Y57&gt;Inputs!$B$8),Inputs!$B$7,0)</f>
        <v/>
      </c>
    </row>
    <row r="58">
      <c r="A58" s="4" t="inlineStr">
        <is>
          <t>OPP-2013</t>
        </is>
      </c>
      <c r="B58" s="4" t="inlineStr">
        <is>
          <t>Kessel Supply</t>
        </is>
      </c>
      <c r="C58" s="4" t="inlineStr">
        <is>
          <t>Priya Shah</t>
        </is>
      </c>
      <c r="D58" s="4" t="inlineStr">
        <is>
          <t>Closed Won</t>
        </is>
      </c>
      <c r="E58" s="4" t="inlineStr">
        <is>
          <t>New Business</t>
        </is>
      </c>
      <c r="F58" s="13" t="n">
        <v>46359</v>
      </c>
      <c r="G58" s="4" t="n">
        <v>30000</v>
      </c>
      <c r="H58" s="4" t="inlineStr">
        <is>
          <t>GBP</t>
        </is>
      </c>
      <c r="I58" s="4" t="n">
        <v>0</v>
      </c>
      <c r="J58" s="4" t="n"/>
      <c r="K58" s="4" t="inlineStr">
        <is>
          <t>No</t>
        </is>
      </c>
      <c r="L58" s="4" t="n"/>
      <c r="M58" s="4" t="n"/>
      <c r="N58" s="4" t="n"/>
      <c r="O58" s="14">
        <f>IF(AND(D58="Closed Won",F58&gt;=Inputs!$B$1,F58&lt;=Inputs!$B$2),G58*(1-N(M58)/100),0)</f>
        <v/>
      </c>
      <c r="P58" s="14">
        <f>IF(AND(D58="Closed Won",F58&gt;=Inputs!$B$1,F58&lt;=Inputs!$B$2),G58*N(M58)/100,0)</f>
        <v/>
      </c>
      <c r="Q58" s="13">
        <f>IF(H58="USD","",_xlfn.MAXIFS(FX!$A$2:$A$100,FX!$B$2:$B$100,H58,FX!$A$2:$A$100,"&lt;="&amp;F58))</f>
        <v/>
      </c>
      <c r="R58" s="15">
        <f>IF(H58="USD",1,SUMIFS(FX!$C$2:$C$100,FX!$A$2:$A$100,Q58,FX!$B$2:$B$100,H58))</f>
        <v/>
      </c>
      <c r="S58" s="14">
        <f>COUNTIF($A$2:A58,A58)=1</f>
        <v/>
      </c>
      <c r="T58" s="14">
        <f>IF(E58="Renewal",Inputs!$B$6,1)</f>
        <v/>
      </c>
      <c r="U58" s="14">
        <f>OR(N(I58)&lt;=Inputs!$B$9,J58&lt;&gt;"")</f>
        <v/>
      </c>
      <c r="V58" s="14">
        <f>IF(L58="",100,IF(N58="",100-M58,N58))</f>
        <v/>
      </c>
      <c r="W58" s="14">
        <f>V58+N(M58)=100</f>
        <v/>
      </c>
      <c r="X58" s="14">
        <f>AND(D58="Closed Won",F58&gt;=Inputs!$B$1,F58&lt;=Inputs!$B$2,S58,U58,W58)</f>
        <v/>
      </c>
      <c r="Y58" s="14">
        <f>IF(X58,G58*R58*T58,0)</f>
        <v/>
      </c>
      <c r="Z58" s="14">
        <f>Y58*V58/100</f>
        <v/>
      </c>
      <c r="AA58" s="14">
        <f>Y58*N(M58)/100</f>
        <v/>
      </c>
      <c r="AB58" s="14">
        <f>IF(AND(X58,K58="Yes",MONTH(F58)=11,Y58&gt;Inputs!$B$8),Inputs!$B$7,0)</f>
        <v/>
      </c>
    </row>
    <row r="59">
      <c r="A59" s="4" t="inlineStr">
        <is>
          <t>OPP-2030</t>
        </is>
      </c>
      <c r="B59" s="4" t="inlineStr">
        <is>
          <t>Orrin Labs</t>
        </is>
      </c>
      <c r="C59" s="4" t="inlineStr">
        <is>
          <t>Sarah Chen</t>
        </is>
      </c>
      <c r="D59" s="4" t="inlineStr">
        <is>
          <t>Closed Won</t>
        </is>
      </c>
      <c r="E59" s="4" t="inlineStr">
        <is>
          <t>New Business</t>
        </is>
      </c>
      <c r="F59" s="13" t="n">
        <v>46368</v>
      </c>
      <c r="G59" s="4" t="n">
        <v>17000</v>
      </c>
      <c r="H59" s="4" t="inlineStr">
        <is>
          <t>USD</t>
        </is>
      </c>
      <c r="I59" s="4" t="n">
        <v>0</v>
      </c>
      <c r="J59" s="4" t="n"/>
      <c r="K59" s="4" t="inlineStr">
        <is>
          <t>No</t>
        </is>
      </c>
      <c r="L59" s="4" t="n"/>
      <c r="M59" s="4" t="n"/>
      <c r="N59" s="4" t="n"/>
      <c r="O59" s="14">
        <f>IF(AND(D59="Closed Won",F59&gt;=Inputs!$B$1,F59&lt;=Inputs!$B$2),G59*(1-N(M59)/100),0)</f>
        <v/>
      </c>
      <c r="P59" s="14">
        <f>IF(AND(D59="Closed Won",F59&gt;=Inputs!$B$1,F59&lt;=Inputs!$B$2),G59*N(M59)/100,0)</f>
        <v/>
      </c>
      <c r="Q59" s="13">
        <f>IF(H59="USD","",_xlfn.MAXIFS(FX!$A$2:$A$100,FX!$B$2:$B$100,H59,FX!$A$2:$A$100,"&lt;="&amp;F59))</f>
        <v/>
      </c>
      <c r="R59" s="15">
        <f>IF(H59="USD",1,SUMIFS(FX!$C$2:$C$100,FX!$A$2:$A$100,Q59,FX!$B$2:$B$100,H59))</f>
        <v/>
      </c>
      <c r="S59" s="14">
        <f>COUNTIF($A$2:A59,A59)=1</f>
        <v/>
      </c>
      <c r="T59" s="14">
        <f>IF(E59="Renewal",Inputs!$B$6,1)</f>
        <v/>
      </c>
      <c r="U59" s="14">
        <f>OR(N(I59)&lt;=Inputs!$B$9,J59&lt;&gt;"")</f>
        <v/>
      </c>
      <c r="V59" s="14">
        <f>IF(L59="",100,IF(N59="",100-M59,N59))</f>
        <v/>
      </c>
      <c r="W59" s="14">
        <f>V59+N(M59)=100</f>
        <v/>
      </c>
      <c r="X59" s="14">
        <f>AND(D59="Closed Won",F59&gt;=Inputs!$B$1,F59&lt;=Inputs!$B$2,S59,U59,W59)</f>
        <v/>
      </c>
      <c r="Y59" s="14">
        <f>IF(X59,G59*R59*T59,0)</f>
        <v/>
      </c>
      <c r="Z59" s="14">
        <f>Y59*V59/100</f>
        <v/>
      </c>
      <c r="AA59" s="14">
        <f>Y59*N(M59)/100</f>
        <v/>
      </c>
      <c r="AB59" s="14">
        <f>IF(AND(X59,K59="Yes",MONTH(F59)=11,Y59&gt;Inputs!$B$8),Inputs!$B$7,0)</f>
        <v/>
      </c>
    </row>
    <row r="60">
      <c r="A60" s="4" t="inlineStr">
        <is>
          <t>OPP-2018</t>
        </is>
      </c>
      <c r="B60" s="4" t="inlineStr">
        <is>
          <t>Orrin Energy</t>
        </is>
      </c>
      <c r="C60" s="4" t="inlineStr">
        <is>
          <t>Tyler Brooks</t>
        </is>
      </c>
      <c r="D60" s="4" t="inlineStr">
        <is>
          <t>Closed Won</t>
        </is>
      </c>
      <c r="E60" s="4" t="inlineStr">
        <is>
          <t>Renewal</t>
        </is>
      </c>
      <c r="F60" s="13" t="n">
        <v>46358</v>
      </c>
      <c r="G60" s="4" t="n">
        <v>17000</v>
      </c>
      <c r="H60" s="4" t="inlineStr">
        <is>
          <t>USD</t>
        </is>
      </c>
      <c r="I60" s="4" t="n">
        <v>0</v>
      </c>
      <c r="J60" s="4" t="n"/>
      <c r="K60" s="4" t="inlineStr">
        <is>
          <t>No</t>
        </is>
      </c>
      <c r="L60" s="4" t="n"/>
      <c r="M60" s="4" t="n"/>
      <c r="N60" s="4" t="n"/>
      <c r="O60" s="14">
        <f>IF(AND(D60="Closed Won",F60&gt;=Inputs!$B$1,F60&lt;=Inputs!$B$2),G60*(1-N(M60)/100),0)</f>
        <v/>
      </c>
      <c r="P60" s="14">
        <f>IF(AND(D60="Closed Won",F60&gt;=Inputs!$B$1,F60&lt;=Inputs!$B$2),G60*N(M60)/100,0)</f>
        <v/>
      </c>
      <c r="Q60" s="13">
        <f>IF(H60="USD","",_xlfn.MAXIFS(FX!$A$2:$A$100,FX!$B$2:$B$100,H60,FX!$A$2:$A$100,"&lt;="&amp;F60))</f>
        <v/>
      </c>
      <c r="R60" s="15">
        <f>IF(H60="USD",1,SUMIFS(FX!$C$2:$C$100,FX!$A$2:$A$100,Q60,FX!$B$2:$B$100,H60))</f>
        <v/>
      </c>
      <c r="S60" s="14">
        <f>COUNTIF($A$2:A60,A60)=1</f>
        <v/>
      </c>
      <c r="T60" s="14">
        <f>IF(E60="Renewal",Inputs!$B$6,1)</f>
        <v/>
      </c>
      <c r="U60" s="14">
        <f>OR(N(I60)&lt;=Inputs!$B$9,J60&lt;&gt;"")</f>
        <v/>
      </c>
      <c r="V60" s="14">
        <f>IF(L60="",100,IF(N60="",100-M60,N60))</f>
        <v/>
      </c>
      <c r="W60" s="14">
        <f>V60+N(M60)=100</f>
        <v/>
      </c>
      <c r="X60" s="14">
        <f>AND(D60="Closed Won",F60&gt;=Inputs!$B$1,F60&lt;=Inputs!$B$2,S60,U60,W60)</f>
        <v/>
      </c>
      <c r="Y60" s="14">
        <f>IF(X60,G60*R60*T60,0)</f>
        <v/>
      </c>
      <c r="Z60" s="14">
        <f>Y60*V60/100</f>
        <v/>
      </c>
      <c r="AA60" s="14">
        <f>Y60*N(M60)/100</f>
        <v/>
      </c>
      <c r="AB60" s="14">
        <f>IF(AND(X60,K60="Yes",MONTH(F60)=11,Y60&gt;Inputs!$B$8),Inputs!$B$7,0)</f>
        <v/>
      </c>
    </row>
    <row r="61">
      <c r="A61" s="4" t="inlineStr">
        <is>
          <t>OPP-2068</t>
        </is>
      </c>
      <c r="B61" s="4" t="inlineStr">
        <is>
          <t>Brisk Builders</t>
        </is>
      </c>
      <c r="C61" s="4" t="inlineStr">
        <is>
          <t>Ana Lima</t>
        </is>
      </c>
      <c r="D61" s="4" t="inlineStr">
        <is>
          <t>Closed Won</t>
        </is>
      </c>
      <c r="E61" s="4" t="inlineStr">
        <is>
          <t>Renewal</t>
        </is>
      </c>
      <c r="F61" s="13" t="n">
        <v>46310</v>
      </c>
      <c r="G61" s="4" t="n">
        <v>13000</v>
      </c>
      <c r="H61" s="4" t="inlineStr">
        <is>
          <t>USD</t>
        </is>
      </c>
      <c r="I61" s="4" t="n">
        <v>15</v>
      </c>
      <c r="J61" s="4" t="n"/>
      <c r="K61" s="4" t="inlineStr">
        <is>
          <t>No</t>
        </is>
      </c>
      <c r="L61" s="4" t="n"/>
      <c r="M61" s="4" t="n"/>
      <c r="N61" s="4" t="n"/>
      <c r="O61" s="14">
        <f>IF(AND(D61="Closed Won",F61&gt;=Inputs!$B$1,F61&lt;=Inputs!$B$2),G61*(1-N(M61)/100),0)</f>
        <v/>
      </c>
      <c r="P61" s="14">
        <f>IF(AND(D61="Closed Won",F61&gt;=Inputs!$B$1,F61&lt;=Inputs!$B$2),G61*N(M61)/100,0)</f>
        <v/>
      </c>
      <c r="Q61" s="13">
        <f>IF(H61="USD","",_xlfn.MAXIFS(FX!$A$2:$A$100,FX!$B$2:$B$100,H61,FX!$A$2:$A$100,"&lt;="&amp;F61))</f>
        <v/>
      </c>
      <c r="R61" s="15">
        <f>IF(H61="USD",1,SUMIFS(FX!$C$2:$C$100,FX!$A$2:$A$100,Q61,FX!$B$2:$B$100,H61))</f>
        <v/>
      </c>
      <c r="S61" s="14">
        <f>COUNTIF($A$2:A61,A61)=1</f>
        <v/>
      </c>
      <c r="T61" s="14">
        <f>IF(E61="Renewal",Inputs!$B$6,1)</f>
        <v/>
      </c>
      <c r="U61" s="14">
        <f>OR(N(I61)&lt;=Inputs!$B$9,J61&lt;&gt;"")</f>
        <v/>
      </c>
      <c r="V61" s="14">
        <f>IF(L61="",100,IF(N61="",100-M61,N61))</f>
        <v/>
      </c>
      <c r="W61" s="14">
        <f>V61+N(M61)=100</f>
        <v/>
      </c>
      <c r="X61" s="14">
        <f>AND(D61="Closed Won",F61&gt;=Inputs!$B$1,F61&lt;=Inputs!$B$2,S61,U61,W61)</f>
        <v/>
      </c>
      <c r="Y61" s="14">
        <f>IF(X61,G61*R61*T61,0)</f>
        <v/>
      </c>
      <c r="Z61" s="14">
        <f>Y61*V61/100</f>
        <v/>
      </c>
      <c r="AA61" s="14">
        <f>Y61*N(M61)/100</f>
        <v/>
      </c>
      <c r="AB61" s="14">
        <f>IF(AND(X61,K61="Yes",MONTH(F61)=11,Y61&gt;Inputs!$B$8),Inputs!$B$7,0)</f>
        <v/>
      </c>
    </row>
    <row r="62">
      <c r="A62" s="4" t="inlineStr">
        <is>
          <t>OPP-2006</t>
        </is>
      </c>
      <c r="B62" s="4" t="inlineStr">
        <is>
          <t>Orrin Foods</t>
        </is>
      </c>
      <c r="C62" s="4" t="inlineStr">
        <is>
          <t>Priya Shah</t>
        </is>
      </c>
      <c r="D62" s="4" t="inlineStr">
        <is>
          <t>Closed Won</t>
        </is>
      </c>
      <c r="E62" s="4" t="inlineStr">
        <is>
          <t>Renewal</t>
        </is>
      </c>
      <c r="F62" s="13" t="n">
        <v>46322</v>
      </c>
      <c r="G62" s="4" t="n">
        <v>34500</v>
      </c>
      <c r="H62" s="4" t="inlineStr">
        <is>
          <t>USD</t>
        </is>
      </c>
      <c r="I62" s="4" t="n">
        <v>5</v>
      </c>
      <c r="J62" s="4" t="n"/>
      <c r="K62" s="4" t="inlineStr">
        <is>
          <t>No</t>
        </is>
      </c>
      <c r="L62" s="4" t="n"/>
      <c r="M62" s="4" t="n"/>
      <c r="N62" s="4" t="n"/>
      <c r="O62" s="14">
        <f>IF(AND(D62="Closed Won",F62&gt;=Inputs!$B$1,F62&lt;=Inputs!$B$2),G62*(1-N(M62)/100),0)</f>
        <v/>
      </c>
      <c r="P62" s="14">
        <f>IF(AND(D62="Closed Won",F62&gt;=Inputs!$B$1,F62&lt;=Inputs!$B$2),G62*N(M62)/100,0)</f>
        <v/>
      </c>
      <c r="Q62" s="13">
        <f>IF(H62="USD","",_xlfn.MAXIFS(FX!$A$2:$A$100,FX!$B$2:$B$100,H62,FX!$A$2:$A$100,"&lt;="&amp;F62))</f>
        <v/>
      </c>
      <c r="R62" s="15">
        <f>IF(H62="USD",1,SUMIFS(FX!$C$2:$C$100,FX!$A$2:$A$100,Q62,FX!$B$2:$B$100,H62))</f>
        <v/>
      </c>
      <c r="S62" s="14">
        <f>COUNTIF($A$2:A62,A62)=1</f>
        <v/>
      </c>
      <c r="T62" s="14">
        <f>IF(E62="Renewal",Inputs!$B$6,1)</f>
        <v/>
      </c>
      <c r="U62" s="14">
        <f>OR(N(I62)&lt;=Inputs!$B$9,J62&lt;&gt;"")</f>
        <v/>
      </c>
      <c r="V62" s="14">
        <f>IF(L62="",100,IF(N62="",100-M62,N62))</f>
        <v/>
      </c>
      <c r="W62" s="14">
        <f>V62+N(M62)=100</f>
        <v/>
      </c>
      <c r="X62" s="14">
        <f>AND(D62="Closed Won",F62&gt;=Inputs!$B$1,F62&lt;=Inputs!$B$2,S62,U62,W62)</f>
        <v/>
      </c>
      <c r="Y62" s="14">
        <f>IF(X62,G62*R62*T62,0)</f>
        <v/>
      </c>
      <c r="Z62" s="14">
        <f>Y62*V62/100</f>
        <v/>
      </c>
      <c r="AA62" s="14">
        <f>Y62*N(M62)/100</f>
        <v/>
      </c>
      <c r="AB62" s="14">
        <f>IF(AND(X62,K62="Yes",MONTH(F62)=11,Y62&gt;Inputs!$B$8),Inputs!$B$7,0)</f>
        <v/>
      </c>
    </row>
    <row r="63">
      <c r="A63" s="4" t="inlineStr">
        <is>
          <t>OPP-2003</t>
        </is>
      </c>
      <c r="B63" s="4" t="inlineStr">
        <is>
          <t>Northgate Logistics</t>
        </is>
      </c>
      <c r="C63" s="4" t="inlineStr">
        <is>
          <t>Priya Shah</t>
        </is>
      </c>
      <c r="D63" s="4" t="inlineStr">
        <is>
          <t>Closed Won</t>
        </is>
      </c>
      <c r="E63" s="4" t="inlineStr">
        <is>
          <t>Expansion</t>
        </is>
      </c>
      <c r="F63" s="13" t="n">
        <v>46314</v>
      </c>
      <c r="G63" s="4" t="n">
        <v>21000</v>
      </c>
      <c r="H63" s="4" t="inlineStr">
        <is>
          <t>USD</t>
        </is>
      </c>
      <c r="I63" s="4" t="n">
        <v>0</v>
      </c>
      <c r="J63" s="4" t="n"/>
      <c r="K63" s="4" t="inlineStr">
        <is>
          <t>No</t>
        </is>
      </c>
      <c r="L63" s="4" t="n"/>
      <c r="M63" s="4" t="n"/>
      <c r="N63" s="4" t="n"/>
      <c r="O63" s="14">
        <f>IF(AND(D63="Closed Won",F63&gt;=Inputs!$B$1,F63&lt;=Inputs!$B$2),G63*(1-N(M63)/100),0)</f>
        <v/>
      </c>
      <c r="P63" s="14">
        <f>IF(AND(D63="Closed Won",F63&gt;=Inputs!$B$1,F63&lt;=Inputs!$B$2),G63*N(M63)/100,0)</f>
        <v/>
      </c>
      <c r="Q63" s="13">
        <f>IF(H63="USD","",_xlfn.MAXIFS(FX!$A$2:$A$100,FX!$B$2:$B$100,H63,FX!$A$2:$A$100,"&lt;="&amp;F63))</f>
        <v/>
      </c>
      <c r="R63" s="15">
        <f>IF(H63="USD",1,SUMIFS(FX!$C$2:$C$100,FX!$A$2:$A$100,Q63,FX!$B$2:$B$100,H63))</f>
        <v/>
      </c>
      <c r="S63" s="14">
        <f>COUNTIF($A$2:A63,A63)=1</f>
        <v/>
      </c>
      <c r="T63" s="14">
        <f>IF(E63="Renewal",Inputs!$B$6,1)</f>
        <v/>
      </c>
      <c r="U63" s="14">
        <f>OR(N(I63)&lt;=Inputs!$B$9,J63&lt;&gt;"")</f>
        <v/>
      </c>
      <c r="V63" s="14">
        <f>IF(L63="",100,IF(N63="",100-M63,N63))</f>
        <v/>
      </c>
      <c r="W63" s="14">
        <f>V63+N(M63)=100</f>
        <v/>
      </c>
      <c r="X63" s="14">
        <f>AND(D63="Closed Won",F63&gt;=Inputs!$B$1,F63&lt;=Inputs!$B$2,S63,U63,W63)</f>
        <v/>
      </c>
      <c r="Y63" s="14">
        <f>IF(X63,G63*R63*T63,0)</f>
        <v/>
      </c>
      <c r="Z63" s="14">
        <f>Y63*V63/100</f>
        <v/>
      </c>
      <c r="AA63" s="14">
        <f>Y63*N(M63)/100</f>
        <v/>
      </c>
      <c r="AB63" s="14">
        <f>IF(AND(X63,K63="Yes",MONTH(F63)=11,Y63&gt;Inputs!$B$8),Inputs!$B$7,0)</f>
        <v/>
      </c>
    </row>
    <row r="64">
      <c r="A64" s="4" t="inlineStr">
        <is>
          <t>OPP-2023</t>
        </is>
      </c>
      <c r="B64" s="4" t="inlineStr">
        <is>
          <t>Marlow Retail</t>
        </is>
      </c>
      <c r="C64" s="4" t="inlineStr">
        <is>
          <t>Tyler Brooks</t>
        </is>
      </c>
      <c r="D64" s="4" t="inlineStr">
        <is>
          <t>Closed Won</t>
        </is>
      </c>
      <c r="E64" s="4" t="inlineStr">
        <is>
          <t>Expansion</t>
        </is>
      </c>
      <c r="F64" s="13" t="n">
        <v>46313</v>
      </c>
      <c r="G64" s="4" t="n">
        <v>19500</v>
      </c>
      <c r="H64" s="4" t="inlineStr">
        <is>
          <t>USD</t>
        </is>
      </c>
      <c r="I64" s="4" t="n">
        <v>5</v>
      </c>
      <c r="J64" s="4" t="n"/>
      <c r="K64" s="4" t="inlineStr">
        <is>
          <t>No</t>
        </is>
      </c>
      <c r="L64" s="4" t="n"/>
      <c r="M64" s="4" t="n"/>
      <c r="N64" s="4" t="n"/>
      <c r="O64" s="14">
        <f>IF(AND(D64="Closed Won",F64&gt;=Inputs!$B$1,F64&lt;=Inputs!$B$2),G64*(1-N(M64)/100),0)</f>
        <v/>
      </c>
      <c r="P64" s="14">
        <f>IF(AND(D64="Closed Won",F64&gt;=Inputs!$B$1,F64&lt;=Inputs!$B$2),G64*N(M64)/100,0)</f>
        <v/>
      </c>
      <c r="Q64" s="13">
        <f>IF(H64="USD","",_xlfn.MAXIFS(FX!$A$2:$A$100,FX!$B$2:$B$100,H64,FX!$A$2:$A$100,"&lt;="&amp;F64))</f>
        <v/>
      </c>
      <c r="R64" s="15">
        <f>IF(H64="USD",1,SUMIFS(FX!$C$2:$C$100,FX!$A$2:$A$100,Q64,FX!$B$2:$B$100,H64))</f>
        <v/>
      </c>
      <c r="S64" s="14">
        <f>COUNTIF($A$2:A64,A64)=1</f>
        <v/>
      </c>
      <c r="T64" s="14">
        <f>IF(E64="Renewal",Inputs!$B$6,1)</f>
        <v/>
      </c>
      <c r="U64" s="14">
        <f>OR(N(I64)&lt;=Inputs!$B$9,J64&lt;&gt;"")</f>
        <v/>
      </c>
      <c r="V64" s="14">
        <f>IF(L64="",100,IF(N64="",100-M64,N64))</f>
        <v/>
      </c>
      <c r="W64" s="14">
        <f>V64+N(M64)=100</f>
        <v/>
      </c>
      <c r="X64" s="14">
        <f>AND(D64="Closed Won",F64&gt;=Inputs!$B$1,F64&lt;=Inputs!$B$2,S64,U64,W64)</f>
        <v/>
      </c>
      <c r="Y64" s="14">
        <f>IF(X64,G64*R64*T64,0)</f>
        <v/>
      </c>
      <c r="Z64" s="14">
        <f>Y64*V64/100</f>
        <v/>
      </c>
      <c r="AA64" s="14">
        <f>Y64*N(M64)/100</f>
        <v/>
      </c>
      <c r="AB64" s="14">
        <f>IF(AND(X64,K64="Yes",MONTH(F64)=11,Y64&gt;Inputs!$B$8),Inputs!$B$7,0)</f>
        <v/>
      </c>
    </row>
    <row r="65">
      <c r="A65" s="4" t="inlineStr">
        <is>
          <t>OPP-2081</t>
        </is>
      </c>
      <c r="B65" s="4" t="inlineStr">
        <is>
          <t>Gantry Supply</t>
        </is>
      </c>
      <c r="C65" s="4" t="inlineStr">
        <is>
          <t>Marcus Reed</t>
        </is>
      </c>
      <c r="D65" s="4" t="inlineStr">
        <is>
          <t>Negotiation</t>
        </is>
      </c>
      <c r="E65" s="4" t="inlineStr">
        <is>
          <t>New Business</t>
        </is>
      </c>
      <c r="F65" s="13" t="n">
        <v>46378</v>
      </c>
      <c r="G65" s="4" t="n">
        <v>23000</v>
      </c>
      <c r="H65" s="4" t="inlineStr">
        <is>
          <t>USD</t>
        </is>
      </c>
      <c r="I65" s="4" t="n">
        <v>0</v>
      </c>
      <c r="J65" s="4" t="n"/>
      <c r="K65" s="4" t="inlineStr">
        <is>
          <t>No</t>
        </is>
      </c>
      <c r="L65" s="4" t="n"/>
      <c r="M65" s="4" t="n"/>
      <c r="N65" s="4" t="n"/>
      <c r="O65" s="14">
        <f>IF(AND(D65="Closed Won",F65&gt;=Inputs!$B$1,F65&lt;=Inputs!$B$2),G65*(1-N(M65)/100),0)</f>
        <v/>
      </c>
      <c r="P65" s="14">
        <f>IF(AND(D65="Closed Won",F65&gt;=Inputs!$B$1,F65&lt;=Inputs!$B$2),G65*N(M65)/100,0)</f>
        <v/>
      </c>
      <c r="Q65" s="13">
        <f>IF(H65="USD","",_xlfn.MAXIFS(FX!$A$2:$A$100,FX!$B$2:$B$100,H65,FX!$A$2:$A$100,"&lt;="&amp;F65))</f>
        <v/>
      </c>
      <c r="R65" s="15">
        <f>IF(H65="USD",1,SUMIFS(FX!$C$2:$C$100,FX!$A$2:$A$100,Q65,FX!$B$2:$B$100,H65))</f>
        <v/>
      </c>
      <c r="S65" s="14">
        <f>COUNTIF($A$2:A65,A65)=1</f>
        <v/>
      </c>
      <c r="T65" s="14">
        <f>IF(E65="Renewal",Inputs!$B$6,1)</f>
        <v/>
      </c>
      <c r="U65" s="14">
        <f>OR(N(I65)&lt;=Inputs!$B$9,J65&lt;&gt;"")</f>
        <v/>
      </c>
      <c r="V65" s="14">
        <f>IF(L65="",100,IF(N65="",100-M65,N65))</f>
        <v/>
      </c>
      <c r="W65" s="14">
        <f>V65+N(M65)=100</f>
        <v/>
      </c>
      <c r="X65" s="14">
        <f>AND(D65="Closed Won",F65&gt;=Inputs!$B$1,F65&lt;=Inputs!$B$2,S65,U65,W65)</f>
        <v/>
      </c>
      <c r="Y65" s="14">
        <f>IF(X65,G65*R65*T65,0)</f>
        <v/>
      </c>
      <c r="Z65" s="14">
        <f>Y65*V65/100</f>
        <v/>
      </c>
      <c r="AA65" s="14">
        <f>Y65*N(M65)/100</f>
        <v/>
      </c>
      <c r="AB65" s="14">
        <f>IF(AND(X65,K65="Yes",MONTH(F65)=11,Y65&gt;Inputs!$B$8),Inputs!$B$7,0)</f>
        <v/>
      </c>
    </row>
    <row r="66">
      <c r="A66" s="4" t="inlineStr">
        <is>
          <t>OPP-2044</t>
        </is>
      </c>
      <c r="B66" s="4" t="inlineStr">
        <is>
          <t>Kessel Logistics</t>
        </is>
      </c>
      <c r="C66" s="4" t="inlineStr">
        <is>
          <t>Marcus Reed</t>
        </is>
      </c>
      <c r="D66" s="4" t="inlineStr">
        <is>
          <t>Closed Won</t>
        </is>
      </c>
      <c r="E66" s="4" t="inlineStr">
        <is>
          <t>Renewal</t>
        </is>
      </c>
      <c r="F66" s="13" t="n">
        <v>46349</v>
      </c>
      <c r="G66" s="4" t="n">
        <v>18500</v>
      </c>
      <c r="H66" s="4" t="inlineStr">
        <is>
          <t>USD</t>
        </is>
      </c>
      <c r="I66" s="4" t="n">
        <v>0</v>
      </c>
      <c r="J66" s="4" t="n"/>
      <c r="K66" s="4" t="inlineStr">
        <is>
          <t>No</t>
        </is>
      </c>
      <c r="L66" s="4" t="n"/>
      <c r="M66" s="4" t="n"/>
      <c r="N66" s="4" t="n"/>
      <c r="O66" s="14">
        <f>IF(AND(D66="Closed Won",F66&gt;=Inputs!$B$1,F66&lt;=Inputs!$B$2),G66*(1-N(M66)/100),0)</f>
        <v/>
      </c>
      <c r="P66" s="14">
        <f>IF(AND(D66="Closed Won",F66&gt;=Inputs!$B$1,F66&lt;=Inputs!$B$2),G66*N(M66)/100,0)</f>
        <v/>
      </c>
      <c r="Q66" s="13">
        <f>IF(H66="USD","",_xlfn.MAXIFS(FX!$A$2:$A$100,FX!$B$2:$B$100,H66,FX!$A$2:$A$100,"&lt;="&amp;F66))</f>
        <v/>
      </c>
      <c r="R66" s="15">
        <f>IF(H66="USD",1,SUMIFS(FX!$C$2:$C$100,FX!$A$2:$A$100,Q66,FX!$B$2:$B$100,H66))</f>
        <v/>
      </c>
      <c r="S66" s="14">
        <f>COUNTIF($A$2:A66,A66)=1</f>
        <v/>
      </c>
      <c r="T66" s="14">
        <f>IF(E66="Renewal",Inputs!$B$6,1)</f>
        <v/>
      </c>
      <c r="U66" s="14">
        <f>OR(N(I66)&lt;=Inputs!$B$9,J66&lt;&gt;"")</f>
        <v/>
      </c>
      <c r="V66" s="14">
        <f>IF(L66="",100,IF(N66="",100-M66,N66))</f>
        <v/>
      </c>
      <c r="W66" s="14">
        <f>V66+N(M66)=100</f>
        <v/>
      </c>
      <c r="X66" s="14">
        <f>AND(D66="Closed Won",F66&gt;=Inputs!$B$1,F66&lt;=Inputs!$B$2,S66,U66,W66)</f>
        <v/>
      </c>
      <c r="Y66" s="14">
        <f>IF(X66,G66*R66*T66,0)</f>
        <v/>
      </c>
      <c r="Z66" s="14">
        <f>Y66*V66/100</f>
        <v/>
      </c>
      <c r="AA66" s="14">
        <f>Y66*N(M66)/100</f>
        <v/>
      </c>
      <c r="AB66" s="14">
        <f>IF(AND(X66,K66="Yes",MONTH(F66)=11,Y66&gt;Inputs!$B$8),Inputs!$B$7,0)</f>
        <v/>
      </c>
    </row>
    <row r="67">
      <c r="A67" s="4" t="inlineStr">
        <is>
          <t>OPP-2035</t>
        </is>
      </c>
      <c r="B67" s="4" t="inlineStr">
        <is>
          <t>Wrenfield Builders</t>
        </is>
      </c>
      <c r="C67" s="4" t="inlineStr">
        <is>
          <t>Sarah Chen</t>
        </is>
      </c>
      <c r="D67" s="4" t="inlineStr">
        <is>
          <t>Closed Won</t>
        </is>
      </c>
      <c r="E67" s="4" t="inlineStr">
        <is>
          <t>New Business</t>
        </is>
      </c>
      <c r="F67" s="13" t="n">
        <v>46305</v>
      </c>
      <c r="G67" s="4" t="n">
        <v>20500</v>
      </c>
      <c r="H67" s="4" t="inlineStr">
        <is>
          <t>USD</t>
        </is>
      </c>
      <c r="I67" s="4" t="n">
        <v>5</v>
      </c>
      <c r="J67" s="4" t="n"/>
      <c r="K67" s="4" t="inlineStr">
        <is>
          <t>No</t>
        </is>
      </c>
      <c r="L67" s="4" t="n"/>
      <c r="M67" s="4" t="n"/>
      <c r="N67" s="4" t="n"/>
      <c r="O67" s="14">
        <f>IF(AND(D67="Closed Won",F67&gt;=Inputs!$B$1,F67&lt;=Inputs!$B$2),G67*(1-N(M67)/100),0)</f>
        <v/>
      </c>
      <c r="P67" s="14">
        <f>IF(AND(D67="Closed Won",F67&gt;=Inputs!$B$1,F67&lt;=Inputs!$B$2),G67*N(M67)/100,0)</f>
        <v/>
      </c>
      <c r="Q67" s="13">
        <f>IF(H67="USD","",_xlfn.MAXIFS(FX!$A$2:$A$100,FX!$B$2:$B$100,H67,FX!$A$2:$A$100,"&lt;="&amp;F67))</f>
        <v/>
      </c>
      <c r="R67" s="15">
        <f>IF(H67="USD",1,SUMIFS(FX!$C$2:$C$100,FX!$A$2:$A$100,Q67,FX!$B$2:$B$100,H67))</f>
        <v/>
      </c>
      <c r="S67" s="14">
        <f>COUNTIF($A$2:A67,A67)=1</f>
        <v/>
      </c>
      <c r="T67" s="14">
        <f>IF(E67="Renewal",Inputs!$B$6,1)</f>
        <v/>
      </c>
      <c r="U67" s="14">
        <f>OR(N(I67)&lt;=Inputs!$B$9,J67&lt;&gt;"")</f>
        <v/>
      </c>
      <c r="V67" s="14">
        <f>IF(L67="",100,IF(N67="",100-M67,N67))</f>
        <v/>
      </c>
      <c r="W67" s="14">
        <f>V67+N(M67)=100</f>
        <v/>
      </c>
      <c r="X67" s="14">
        <f>AND(D67="Closed Won",F67&gt;=Inputs!$B$1,F67&lt;=Inputs!$B$2,S67,U67,W67)</f>
        <v/>
      </c>
      <c r="Y67" s="14">
        <f>IF(X67,G67*R67*T67,0)</f>
        <v/>
      </c>
      <c r="Z67" s="14">
        <f>Y67*V67/100</f>
        <v/>
      </c>
      <c r="AA67" s="14">
        <f>Y67*N(M67)/100</f>
        <v/>
      </c>
      <c r="AB67" s="14">
        <f>IF(AND(X67,K67="Yes",MONTH(F67)=11,Y67&gt;Inputs!$B$8),Inputs!$B$7,0)</f>
        <v/>
      </c>
    </row>
    <row r="68">
      <c r="A68" s="4" t="inlineStr">
        <is>
          <t>OPP-2090</t>
        </is>
      </c>
      <c r="B68" s="4" t="inlineStr">
        <is>
          <t>Fairlow Analytics</t>
        </is>
      </c>
      <c r="C68" s="4" t="inlineStr">
        <is>
          <t>Dan Ortiz</t>
        </is>
      </c>
      <c r="D68" s="4" t="inlineStr">
        <is>
          <t>Negotiation</t>
        </is>
      </c>
      <c r="E68" s="4" t="inlineStr">
        <is>
          <t>New Business</t>
        </is>
      </c>
      <c r="F68" s="13" t="n">
        <v>46379</v>
      </c>
      <c r="G68" s="4" t="n">
        <v>32000</v>
      </c>
      <c r="H68" s="4" t="inlineStr">
        <is>
          <t>USD</t>
        </is>
      </c>
      <c r="I68" s="4" t="n">
        <v>0</v>
      </c>
      <c r="J68" s="4" t="n"/>
      <c r="K68" s="4" t="inlineStr">
        <is>
          <t>No</t>
        </is>
      </c>
      <c r="L68" s="4" t="n"/>
      <c r="M68" s="4" t="n"/>
      <c r="N68" s="4" t="n"/>
      <c r="O68" s="14">
        <f>IF(AND(D68="Closed Won",F68&gt;=Inputs!$B$1,F68&lt;=Inputs!$B$2),G68*(1-N(M68)/100),0)</f>
        <v/>
      </c>
      <c r="P68" s="14">
        <f>IF(AND(D68="Closed Won",F68&gt;=Inputs!$B$1,F68&lt;=Inputs!$B$2),G68*N(M68)/100,0)</f>
        <v/>
      </c>
      <c r="Q68" s="13">
        <f>IF(H68="USD","",_xlfn.MAXIFS(FX!$A$2:$A$100,FX!$B$2:$B$100,H68,FX!$A$2:$A$100,"&lt;="&amp;F68))</f>
        <v/>
      </c>
      <c r="R68" s="15">
        <f>IF(H68="USD",1,SUMIFS(FX!$C$2:$C$100,FX!$A$2:$A$100,Q68,FX!$B$2:$B$100,H68))</f>
        <v/>
      </c>
      <c r="S68" s="14">
        <f>COUNTIF($A$2:A68,A68)=1</f>
        <v/>
      </c>
      <c r="T68" s="14">
        <f>IF(E68="Renewal",Inputs!$B$6,1)</f>
        <v/>
      </c>
      <c r="U68" s="14">
        <f>OR(N(I68)&lt;=Inputs!$B$9,J68&lt;&gt;"")</f>
        <v/>
      </c>
      <c r="V68" s="14">
        <f>IF(L68="",100,IF(N68="",100-M68,N68))</f>
        <v/>
      </c>
      <c r="W68" s="14">
        <f>V68+N(M68)=100</f>
        <v/>
      </c>
      <c r="X68" s="14">
        <f>AND(D68="Closed Won",F68&gt;=Inputs!$B$1,F68&lt;=Inputs!$B$2,S68,U68,W68)</f>
        <v/>
      </c>
      <c r="Y68" s="14">
        <f>IF(X68,G68*R68*T68,0)</f>
        <v/>
      </c>
      <c r="Z68" s="14">
        <f>Y68*V68/100</f>
        <v/>
      </c>
      <c r="AA68" s="14">
        <f>Y68*N(M68)/100</f>
        <v/>
      </c>
      <c r="AB68" s="14">
        <f>IF(AND(X68,K68="Yes",MONTH(F68)=11,Y68&gt;Inputs!$B$8),Inputs!$B$7,0)</f>
        <v/>
      </c>
    </row>
    <row r="69">
      <c r="A69" s="4" t="inlineStr">
        <is>
          <t>OPP-2080</t>
        </is>
      </c>
      <c r="B69" s="4" t="inlineStr">
        <is>
          <t>Larchmont Supply</t>
        </is>
      </c>
      <c r="C69" s="4" t="inlineStr">
        <is>
          <t>Dan Ortiz</t>
        </is>
      </c>
      <c r="D69" s="4" t="inlineStr">
        <is>
          <t>Negotiation</t>
        </is>
      </c>
      <c r="E69" s="4" t="inlineStr">
        <is>
          <t>New Business</t>
        </is>
      </c>
      <c r="F69" s="13" t="n">
        <v>46313</v>
      </c>
      <c r="G69" s="4" t="n">
        <v>20000</v>
      </c>
      <c r="H69" s="4" t="inlineStr">
        <is>
          <t>USD</t>
        </is>
      </c>
      <c r="I69" s="4" t="n">
        <v>0</v>
      </c>
      <c r="J69" s="4" t="n"/>
      <c r="K69" s="4" t="inlineStr">
        <is>
          <t>No</t>
        </is>
      </c>
      <c r="L69" s="4" t="n"/>
      <c r="M69" s="4" t="n"/>
      <c r="N69" s="4" t="n"/>
      <c r="O69" s="14">
        <f>IF(AND(D69="Closed Won",F69&gt;=Inputs!$B$1,F69&lt;=Inputs!$B$2),G69*(1-N(M69)/100),0)</f>
        <v/>
      </c>
      <c r="P69" s="14">
        <f>IF(AND(D69="Closed Won",F69&gt;=Inputs!$B$1,F69&lt;=Inputs!$B$2),G69*N(M69)/100,0)</f>
        <v/>
      </c>
      <c r="Q69" s="13">
        <f>IF(H69="USD","",_xlfn.MAXIFS(FX!$A$2:$A$100,FX!$B$2:$B$100,H69,FX!$A$2:$A$100,"&lt;="&amp;F69))</f>
        <v/>
      </c>
      <c r="R69" s="15">
        <f>IF(H69="USD",1,SUMIFS(FX!$C$2:$C$100,FX!$A$2:$A$100,Q69,FX!$B$2:$B$100,H69))</f>
        <v/>
      </c>
      <c r="S69" s="14">
        <f>COUNTIF($A$2:A69,A69)=1</f>
        <v/>
      </c>
      <c r="T69" s="14">
        <f>IF(E69="Renewal",Inputs!$B$6,1)</f>
        <v/>
      </c>
      <c r="U69" s="14">
        <f>OR(N(I69)&lt;=Inputs!$B$9,J69&lt;&gt;"")</f>
        <v/>
      </c>
      <c r="V69" s="14">
        <f>IF(L69="",100,IF(N69="",100-M69,N69))</f>
        <v/>
      </c>
      <c r="W69" s="14">
        <f>V69+N(M69)=100</f>
        <v/>
      </c>
      <c r="X69" s="14">
        <f>AND(D69="Closed Won",F69&gt;=Inputs!$B$1,F69&lt;=Inputs!$B$2,S69,U69,W69)</f>
        <v/>
      </c>
      <c r="Y69" s="14">
        <f>IF(X69,G69*R69*T69,0)</f>
        <v/>
      </c>
      <c r="Z69" s="14">
        <f>Y69*V69/100</f>
        <v/>
      </c>
      <c r="AA69" s="14">
        <f>Y69*N(M69)/100</f>
        <v/>
      </c>
      <c r="AB69" s="14">
        <f>IF(AND(X69,K69="Yes",MONTH(F69)=11,Y69&gt;Inputs!$B$8),Inputs!$B$7,0)</f>
        <v/>
      </c>
    </row>
    <row r="70">
      <c r="A70" s="4" t="inlineStr">
        <is>
          <t>OPP-2055</t>
        </is>
      </c>
      <c r="B70" s="4" t="inlineStr">
        <is>
          <t>Marlow Logistics</t>
        </is>
      </c>
      <c r="C70" s="4" t="inlineStr">
        <is>
          <t>Dan Ortiz</t>
        </is>
      </c>
      <c r="D70" s="4" t="inlineStr">
        <is>
          <t>Closed Won</t>
        </is>
      </c>
      <c r="E70" s="4" t="inlineStr">
        <is>
          <t>New Business</t>
        </is>
      </c>
      <c r="F70" s="13" t="n">
        <v>46318</v>
      </c>
      <c r="G70" s="4" t="n">
        <v>28500</v>
      </c>
      <c r="H70" s="4" t="inlineStr">
        <is>
          <t>USD</t>
        </is>
      </c>
      <c r="I70" s="4" t="n">
        <v>5</v>
      </c>
      <c r="J70" s="4" t="n"/>
      <c r="K70" s="4" t="inlineStr">
        <is>
          <t>No</t>
        </is>
      </c>
      <c r="L70" s="4" t="n"/>
      <c r="M70" s="4" t="n"/>
      <c r="N70" s="4" t="n"/>
      <c r="O70" s="14">
        <f>IF(AND(D70="Closed Won",F70&gt;=Inputs!$B$1,F70&lt;=Inputs!$B$2),G70*(1-N(M70)/100),0)</f>
        <v/>
      </c>
      <c r="P70" s="14">
        <f>IF(AND(D70="Closed Won",F70&gt;=Inputs!$B$1,F70&lt;=Inputs!$B$2),G70*N(M70)/100,0)</f>
        <v/>
      </c>
      <c r="Q70" s="13">
        <f>IF(H70="USD","",_xlfn.MAXIFS(FX!$A$2:$A$100,FX!$B$2:$B$100,H70,FX!$A$2:$A$100,"&lt;="&amp;F70))</f>
        <v/>
      </c>
      <c r="R70" s="15">
        <f>IF(H70="USD",1,SUMIFS(FX!$C$2:$C$100,FX!$A$2:$A$100,Q70,FX!$B$2:$B$100,H70))</f>
        <v/>
      </c>
      <c r="S70" s="14">
        <f>COUNTIF($A$2:A70,A70)=1</f>
        <v/>
      </c>
      <c r="T70" s="14">
        <f>IF(E70="Renewal",Inputs!$B$6,1)</f>
        <v/>
      </c>
      <c r="U70" s="14">
        <f>OR(N(I70)&lt;=Inputs!$B$9,J70&lt;&gt;"")</f>
        <v/>
      </c>
      <c r="V70" s="14">
        <f>IF(L70="",100,IF(N70="",100-M70,N70))</f>
        <v/>
      </c>
      <c r="W70" s="14">
        <f>V70+N(M70)=100</f>
        <v/>
      </c>
      <c r="X70" s="14">
        <f>AND(D70="Closed Won",F70&gt;=Inputs!$B$1,F70&lt;=Inputs!$B$2,S70,U70,W70)</f>
        <v/>
      </c>
      <c r="Y70" s="14">
        <f>IF(X70,G70*R70*T70,0)</f>
        <v/>
      </c>
      <c r="Z70" s="14">
        <f>Y70*V70/100</f>
        <v/>
      </c>
      <c r="AA70" s="14">
        <f>Y70*N(M70)/100</f>
        <v/>
      </c>
      <c r="AB70" s="14">
        <f>IF(AND(X70,K70="Yes",MONTH(F70)=11,Y70&gt;Inputs!$B$8),Inputs!$B$7,0)</f>
        <v/>
      </c>
    </row>
    <row r="71">
      <c r="A71" s="4" t="inlineStr">
        <is>
          <t>OPP-2091</t>
        </is>
      </c>
      <c r="B71" s="4" t="inlineStr">
        <is>
          <t>Brisk Logistics</t>
        </is>
      </c>
      <c r="C71" s="4" t="inlineStr">
        <is>
          <t>Tyler Brooks</t>
        </is>
      </c>
      <c r="D71" s="4" t="inlineStr">
        <is>
          <t>Negotiation</t>
        </is>
      </c>
      <c r="E71" s="4" t="inlineStr">
        <is>
          <t>New Business</t>
        </is>
      </c>
      <c r="F71" s="13" t="n">
        <v>46300</v>
      </c>
      <c r="G71" s="4" t="n">
        <v>47000</v>
      </c>
      <c r="H71" s="4" t="inlineStr">
        <is>
          <t>USD</t>
        </is>
      </c>
      <c r="I71" s="4" t="n">
        <v>0</v>
      </c>
      <c r="J71" s="4" t="n"/>
      <c r="K71" s="4" t="inlineStr">
        <is>
          <t>No</t>
        </is>
      </c>
      <c r="L71" s="4" t="n"/>
      <c r="M71" s="4" t="n"/>
      <c r="N71" s="4" t="n"/>
      <c r="O71" s="14">
        <f>IF(AND(D71="Closed Won",F71&gt;=Inputs!$B$1,F71&lt;=Inputs!$B$2),G71*(1-N(M71)/100),0)</f>
        <v/>
      </c>
      <c r="P71" s="14">
        <f>IF(AND(D71="Closed Won",F71&gt;=Inputs!$B$1,F71&lt;=Inputs!$B$2),G71*N(M71)/100,0)</f>
        <v/>
      </c>
      <c r="Q71" s="13">
        <f>IF(H71="USD","",_xlfn.MAXIFS(FX!$A$2:$A$100,FX!$B$2:$B$100,H71,FX!$A$2:$A$100,"&lt;="&amp;F71))</f>
        <v/>
      </c>
      <c r="R71" s="15">
        <f>IF(H71="USD",1,SUMIFS(FX!$C$2:$C$100,FX!$A$2:$A$100,Q71,FX!$B$2:$B$100,H71))</f>
        <v/>
      </c>
      <c r="S71" s="14">
        <f>COUNTIF($A$2:A71,A71)=1</f>
        <v/>
      </c>
      <c r="T71" s="14">
        <f>IF(E71="Renewal",Inputs!$B$6,1)</f>
        <v/>
      </c>
      <c r="U71" s="14">
        <f>OR(N(I71)&lt;=Inputs!$B$9,J71&lt;&gt;"")</f>
        <v/>
      </c>
      <c r="V71" s="14">
        <f>IF(L71="",100,IF(N71="",100-M71,N71))</f>
        <v/>
      </c>
      <c r="W71" s="14">
        <f>V71+N(M71)=100</f>
        <v/>
      </c>
      <c r="X71" s="14">
        <f>AND(D71="Closed Won",F71&gt;=Inputs!$B$1,F71&lt;=Inputs!$B$2,S71,U71,W71)</f>
        <v/>
      </c>
      <c r="Y71" s="14">
        <f>IF(X71,G71*R71*T71,0)</f>
        <v/>
      </c>
      <c r="Z71" s="14">
        <f>Y71*V71/100</f>
        <v/>
      </c>
      <c r="AA71" s="14">
        <f>Y71*N(M71)/100</f>
        <v/>
      </c>
      <c r="AB71" s="14">
        <f>IF(AND(X71,K71="Yes",MONTH(F71)=11,Y71&gt;Inputs!$B$8),Inputs!$B$7,0)</f>
        <v/>
      </c>
    </row>
    <row r="72">
      <c r="A72" s="4" t="inlineStr">
        <is>
          <t>OPP-2011</t>
        </is>
      </c>
      <c r="B72" s="4" t="inlineStr">
        <is>
          <t>Kestrel Retail</t>
        </is>
      </c>
      <c r="C72" s="4" t="inlineStr">
        <is>
          <t>Priya Shah</t>
        </is>
      </c>
      <c r="D72" s="4" t="inlineStr">
        <is>
          <t>Closed Won</t>
        </is>
      </c>
      <c r="E72" s="4" t="inlineStr">
        <is>
          <t>New Business</t>
        </is>
      </c>
      <c r="F72" s="13" t="n">
        <v>46338</v>
      </c>
      <c r="G72" s="4" t="n">
        <v>50000</v>
      </c>
      <c r="H72" s="4" t="inlineStr">
        <is>
          <t>EUR</t>
        </is>
      </c>
      <c r="I72" s="4" t="n">
        <v>0</v>
      </c>
      <c r="J72" s="4" t="n"/>
      <c r="K72" s="4" t="inlineStr">
        <is>
          <t>No</t>
        </is>
      </c>
      <c r="L72" s="4" t="n"/>
      <c r="M72" s="4" t="n"/>
      <c r="N72" s="4" t="n"/>
      <c r="O72" s="14">
        <f>IF(AND(D72="Closed Won",F72&gt;=Inputs!$B$1,F72&lt;=Inputs!$B$2),G72*(1-N(M72)/100),0)</f>
        <v/>
      </c>
      <c r="P72" s="14">
        <f>IF(AND(D72="Closed Won",F72&gt;=Inputs!$B$1,F72&lt;=Inputs!$B$2),G72*N(M72)/100,0)</f>
        <v/>
      </c>
      <c r="Q72" s="13">
        <f>IF(H72="USD","",_xlfn.MAXIFS(FX!$A$2:$A$100,FX!$B$2:$B$100,H72,FX!$A$2:$A$100,"&lt;="&amp;F72))</f>
        <v/>
      </c>
      <c r="R72" s="15">
        <f>IF(H72="USD",1,SUMIFS(FX!$C$2:$C$100,FX!$A$2:$A$100,Q72,FX!$B$2:$B$100,H72))</f>
        <v/>
      </c>
      <c r="S72" s="14">
        <f>COUNTIF($A$2:A72,A72)=1</f>
        <v/>
      </c>
      <c r="T72" s="14">
        <f>IF(E72="Renewal",Inputs!$B$6,1)</f>
        <v/>
      </c>
      <c r="U72" s="14">
        <f>OR(N(I72)&lt;=Inputs!$B$9,J72&lt;&gt;"")</f>
        <v/>
      </c>
      <c r="V72" s="14">
        <f>IF(L72="",100,IF(N72="",100-M72,N72))</f>
        <v/>
      </c>
      <c r="W72" s="14">
        <f>V72+N(M72)=100</f>
        <v/>
      </c>
      <c r="X72" s="14">
        <f>AND(D72="Closed Won",F72&gt;=Inputs!$B$1,F72&lt;=Inputs!$B$2,S72,U72,W72)</f>
        <v/>
      </c>
      <c r="Y72" s="14">
        <f>IF(X72,G72*R72*T72,0)</f>
        <v/>
      </c>
      <c r="Z72" s="14">
        <f>Y72*V72/100</f>
        <v/>
      </c>
      <c r="AA72" s="14">
        <f>Y72*N(M72)/100</f>
        <v/>
      </c>
      <c r="AB72" s="14">
        <f>IF(AND(X72,K72="Yes",MONTH(F72)=11,Y72&gt;Inputs!$B$8),Inputs!$B$7,0)</f>
        <v/>
      </c>
    </row>
    <row r="73">
      <c r="A73" s="4" t="inlineStr">
        <is>
          <t>OPP-2038</t>
        </is>
      </c>
      <c r="B73" s="4" t="inlineStr">
        <is>
          <t>Ivers Health</t>
        </is>
      </c>
      <c r="C73" s="4" t="inlineStr">
        <is>
          <t>Sarah Chen</t>
        </is>
      </c>
      <c r="D73" s="4" t="inlineStr">
        <is>
          <t>Closed Won</t>
        </is>
      </c>
      <c r="E73" s="4" t="inlineStr">
        <is>
          <t>Renewal</t>
        </is>
      </c>
      <c r="F73" s="13" t="n">
        <v>46372</v>
      </c>
      <c r="G73" s="4" t="n">
        <v>22000</v>
      </c>
      <c r="H73" s="4" t="inlineStr">
        <is>
          <t>USD</t>
        </is>
      </c>
      <c r="I73" s="4" t="n">
        <v>0</v>
      </c>
      <c r="J73" s="4" t="n"/>
      <c r="K73" s="4" t="inlineStr">
        <is>
          <t>No</t>
        </is>
      </c>
      <c r="L73" s="4" t="n"/>
      <c r="M73" s="4" t="n"/>
      <c r="N73" s="4" t="n"/>
      <c r="O73" s="14">
        <f>IF(AND(D73="Closed Won",F73&gt;=Inputs!$B$1,F73&lt;=Inputs!$B$2),G73*(1-N(M73)/100),0)</f>
        <v/>
      </c>
      <c r="P73" s="14">
        <f>IF(AND(D73="Closed Won",F73&gt;=Inputs!$B$1,F73&lt;=Inputs!$B$2),G73*N(M73)/100,0)</f>
        <v/>
      </c>
      <c r="Q73" s="13">
        <f>IF(H73="USD","",_xlfn.MAXIFS(FX!$A$2:$A$100,FX!$B$2:$B$100,H73,FX!$A$2:$A$100,"&lt;="&amp;F73))</f>
        <v/>
      </c>
      <c r="R73" s="15">
        <f>IF(H73="USD",1,SUMIFS(FX!$C$2:$C$100,FX!$A$2:$A$100,Q73,FX!$B$2:$B$100,H73))</f>
        <v/>
      </c>
      <c r="S73" s="14">
        <f>COUNTIF($A$2:A73,A73)=1</f>
        <v/>
      </c>
      <c r="T73" s="14">
        <f>IF(E73="Renewal",Inputs!$B$6,1)</f>
        <v/>
      </c>
      <c r="U73" s="14">
        <f>OR(N(I73)&lt;=Inputs!$B$9,J73&lt;&gt;"")</f>
        <v/>
      </c>
      <c r="V73" s="14">
        <f>IF(L73="",100,IF(N73="",100-M73,N73))</f>
        <v/>
      </c>
      <c r="W73" s="14">
        <f>V73+N(M73)=100</f>
        <v/>
      </c>
      <c r="X73" s="14">
        <f>AND(D73="Closed Won",F73&gt;=Inputs!$B$1,F73&lt;=Inputs!$B$2,S73,U73,W73)</f>
        <v/>
      </c>
      <c r="Y73" s="14">
        <f>IF(X73,G73*R73*T73,0)</f>
        <v/>
      </c>
      <c r="Z73" s="14">
        <f>Y73*V73/100</f>
        <v/>
      </c>
      <c r="AA73" s="14">
        <f>Y73*N(M73)/100</f>
        <v/>
      </c>
      <c r="AB73" s="14">
        <f>IF(AND(X73,K73="Yes",MONTH(F73)=11,Y73&gt;Inputs!$B$8),Inputs!$B$7,0)</f>
        <v/>
      </c>
    </row>
    <row r="74">
      <c r="A74" s="4" t="inlineStr">
        <is>
          <t>OPP-2005</t>
        </is>
      </c>
      <c r="B74" s="4" t="inlineStr">
        <is>
          <t>Northgate Builders</t>
        </is>
      </c>
      <c r="C74" s="4" t="inlineStr">
        <is>
          <t>Priya Shah</t>
        </is>
      </c>
      <c r="D74" s="4" t="inlineStr">
        <is>
          <t>Closed Won</t>
        </is>
      </c>
      <c r="E74" s="4" t="inlineStr">
        <is>
          <t>New Business</t>
        </is>
      </c>
      <c r="F74" s="13" t="n">
        <v>46297</v>
      </c>
      <c r="G74" s="4" t="n">
        <v>33000</v>
      </c>
      <c r="H74" s="4" t="inlineStr">
        <is>
          <t>USD</t>
        </is>
      </c>
      <c r="I74" s="4" t="n">
        <v>5</v>
      </c>
      <c r="J74" s="4" t="n"/>
      <c r="K74" s="4" t="inlineStr">
        <is>
          <t>No</t>
        </is>
      </c>
      <c r="L74" s="4" t="n"/>
      <c r="M74" s="4" t="n"/>
      <c r="N74" s="4" t="n"/>
      <c r="O74" s="14">
        <f>IF(AND(D74="Closed Won",F74&gt;=Inputs!$B$1,F74&lt;=Inputs!$B$2),G74*(1-N(M74)/100),0)</f>
        <v/>
      </c>
      <c r="P74" s="14">
        <f>IF(AND(D74="Closed Won",F74&gt;=Inputs!$B$1,F74&lt;=Inputs!$B$2),G74*N(M74)/100,0)</f>
        <v/>
      </c>
      <c r="Q74" s="13">
        <f>IF(H74="USD","",_xlfn.MAXIFS(FX!$A$2:$A$100,FX!$B$2:$B$100,H74,FX!$A$2:$A$100,"&lt;="&amp;F74))</f>
        <v/>
      </c>
      <c r="R74" s="15">
        <f>IF(H74="USD",1,SUMIFS(FX!$C$2:$C$100,FX!$A$2:$A$100,Q74,FX!$B$2:$B$100,H74))</f>
        <v/>
      </c>
      <c r="S74" s="14">
        <f>COUNTIF($A$2:A74,A74)=1</f>
        <v/>
      </c>
      <c r="T74" s="14">
        <f>IF(E74="Renewal",Inputs!$B$6,1)</f>
        <v/>
      </c>
      <c r="U74" s="14">
        <f>OR(N(I74)&lt;=Inputs!$B$9,J74&lt;&gt;"")</f>
        <v/>
      </c>
      <c r="V74" s="14">
        <f>IF(L74="",100,IF(N74="",100-M74,N74))</f>
        <v/>
      </c>
      <c r="W74" s="14">
        <f>V74+N(M74)=100</f>
        <v/>
      </c>
      <c r="X74" s="14">
        <f>AND(D74="Closed Won",F74&gt;=Inputs!$B$1,F74&lt;=Inputs!$B$2,S74,U74,W74)</f>
        <v/>
      </c>
      <c r="Y74" s="14">
        <f>IF(X74,G74*R74*T74,0)</f>
        <v/>
      </c>
      <c r="Z74" s="14">
        <f>Y74*V74/100</f>
        <v/>
      </c>
      <c r="AA74" s="14">
        <f>Y74*N(M74)/100</f>
        <v/>
      </c>
      <c r="AB74" s="14">
        <f>IF(AND(X74,K74="Yes",MONTH(F74)=11,Y74&gt;Inputs!$B$8),Inputs!$B$7,0)</f>
        <v/>
      </c>
    </row>
    <row r="75">
      <c r="A75" s="4" t="inlineStr">
        <is>
          <t>OPP-2008</t>
        </is>
      </c>
      <c r="B75" s="4" t="inlineStr">
        <is>
          <t>Fairlow Health</t>
        </is>
      </c>
      <c r="C75" s="4" t="inlineStr">
        <is>
          <t>Priya Shah</t>
        </is>
      </c>
      <c r="D75" s="4" t="inlineStr">
        <is>
          <t>Closed Won</t>
        </is>
      </c>
      <c r="E75" s="4" t="inlineStr">
        <is>
          <t>Expansion</t>
        </is>
      </c>
      <c r="F75" s="13" t="n">
        <v>46309</v>
      </c>
      <c r="G75" s="4" t="n">
        <v>14500</v>
      </c>
      <c r="H75" s="4" t="inlineStr">
        <is>
          <t>USD</t>
        </is>
      </c>
      <c r="I75" s="4" t="n">
        <v>10</v>
      </c>
      <c r="J75" s="4" t="n"/>
      <c r="K75" s="4" t="inlineStr">
        <is>
          <t>No</t>
        </is>
      </c>
      <c r="L75" s="4" t="n"/>
      <c r="M75" s="4" t="n"/>
      <c r="N75" s="4" t="n"/>
      <c r="O75" s="14">
        <f>IF(AND(D75="Closed Won",F75&gt;=Inputs!$B$1,F75&lt;=Inputs!$B$2),G75*(1-N(M75)/100),0)</f>
        <v/>
      </c>
      <c r="P75" s="14">
        <f>IF(AND(D75="Closed Won",F75&gt;=Inputs!$B$1,F75&lt;=Inputs!$B$2),G75*N(M75)/100,0)</f>
        <v/>
      </c>
      <c r="Q75" s="13">
        <f>IF(H75="USD","",_xlfn.MAXIFS(FX!$A$2:$A$100,FX!$B$2:$B$100,H75,FX!$A$2:$A$100,"&lt;="&amp;F75))</f>
        <v/>
      </c>
      <c r="R75" s="15">
        <f>IF(H75="USD",1,SUMIFS(FX!$C$2:$C$100,FX!$A$2:$A$100,Q75,FX!$B$2:$B$100,H75))</f>
        <v/>
      </c>
      <c r="S75" s="14">
        <f>COUNTIF($A$2:A75,A75)=1</f>
        <v/>
      </c>
      <c r="T75" s="14">
        <f>IF(E75="Renewal",Inputs!$B$6,1)</f>
        <v/>
      </c>
      <c r="U75" s="14">
        <f>OR(N(I75)&lt;=Inputs!$B$9,J75&lt;&gt;"")</f>
        <v/>
      </c>
      <c r="V75" s="14">
        <f>IF(L75="",100,IF(N75="",100-M75,N75))</f>
        <v/>
      </c>
      <c r="W75" s="14">
        <f>V75+N(M75)=100</f>
        <v/>
      </c>
      <c r="X75" s="14">
        <f>AND(D75="Closed Won",F75&gt;=Inputs!$B$1,F75&lt;=Inputs!$B$2,S75,U75,W75)</f>
        <v/>
      </c>
      <c r="Y75" s="14">
        <f>IF(X75,G75*R75*T75,0)</f>
        <v/>
      </c>
      <c r="Z75" s="14">
        <f>Y75*V75/100</f>
        <v/>
      </c>
      <c r="AA75" s="14">
        <f>Y75*N(M75)/100</f>
        <v/>
      </c>
      <c r="AB75" s="14">
        <f>IF(AND(X75,K75="Yes",MONTH(F75)=11,Y75&gt;Inputs!$B$8),Inputs!$B$7,0)</f>
        <v/>
      </c>
    </row>
    <row r="76">
      <c r="A76" s="4" t="inlineStr">
        <is>
          <t>OPP-2047</t>
        </is>
      </c>
      <c r="B76" s="4" t="inlineStr">
        <is>
          <t>Holloway Foods</t>
        </is>
      </c>
      <c r="C76" s="4" t="inlineStr">
        <is>
          <t>Marcus Reed</t>
        </is>
      </c>
      <c r="D76" s="4" t="inlineStr">
        <is>
          <t>Closed Won</t>
        </is>
      </c>
      <c r="E76" s="4" t="inlineStr">
        <is>
          <t>Expansion</t>
        </is>
      </c>
      <c r="F76" s="13" t="n">
        <v>46348</v>
      </c>
      <c r="G76" s="4" t="n">
        <v>18000</v>
      </c>
      <c r="H76" s="4" t="inlineStr">
        <is>
          <t>USD</t>
        </is>
      </c>
      <c r="I76" s="4" t="n">
        <v>10</v>
      </c>
      <c r="J76" s="4" t="n"/>
      <c r="K76" s="4" t="inlineStr">
        <is>
          <t>No</t>
        </is>
      </c>
      <c r="L76" s="4" t="n"/>
      <c r="M76" s="4" t="n"/>
      <c r="N76" s="4" t="n"/>
      <c r="O76" s="14">
        <f>IF(AND(D76="Closed Won",F76&gt;=Inputs!$B$1,F76&lt;=Inputs!$B$2),G76*(1-N(M76)/100),0)</f>
        <v/>
      </c>
      <c r="P76" s="14">
        <f>IF(AND(D76="Closed Won",F76&gt;=Inputs!$B$1,F76&lt;=Inputs!$B$2),G76*N(M76)/100,0)</f>
        <v/>
      </c>
      <c r="Q76" s="13">
        <f>IF(H76="USD","",_xlfn.MAXIFS(FX!$A$2:$A$100,FX!$B$2:$B$100,H76,FX!$A$2:$A$100,"&lt;="&amp;F76))</f>
        <v/>
      </c>
      <c r="R76" s="15">
        <f>IF(H76="USD",1,SUMIFS(FX!$C$2:$C$100,FX!$A$2:$A$100,Q76,FX!$B$2:$B$100,H76))</f>
        <v/>
      </c>
      <c r="S76" s="14">
        <f>COUNTIF($A$2:A76,A76)=1</f>
        <v/>
      </c>
      <c r="T76" s="14">
        <f>IF(E76="Renewal",Inputs!$B$6,1)</f>
        <v/>
      </c>
      <c r="U76" s="14">
        <f>OR(N(I76)&lt;=Inputs!$B$9,J76&lt;&gt;"")</f>
        <v/>
      </c>
      <c r="V76" s="14">
        <f>IF(L76="",100,IF(N76="",100-M76,N76))</f>
        <v/>
      </c>
      <c r="W76" s="14">
        <f>V76+N(M76)=100</f>
        <v/>
      </c>
      <c r="X76" s="14">
        <f>AND(D76="Closed Won",F76&gt;=Inputs!$B$1,F76&lt;=Inputs!$B$2,S76,U76,W76)</f>
        <v/>
      </c>
      <c r="Y76" s="14">
        <f>IF(X76,G76*R76*T76,0)</f>
        <v/>
      </c>
      <c r="Z76" s="14">
        <f>Y76*V76/100</f>
        <v/>
      </c>
      <c r="AA76" s="14">
        <f>Y76*N(M76)/100</f>
        <v/>
      </c>
      <c r="AB76" s="14">
        <f>IF(AND(X76,K76="Yes",MONTH(F76)=11,Y76&gt;Inputs!$B$8),Inputs!$B$7,0)</f>
        <v/>
      </c>
    </row>
    <row r="77">
      <c r="A77" s="4" t="inlineStr">
        <is>
          <t>OPP-2033</t>
        </is>
      </c>
      <c r="B77" s="4" t="inlineStr">
        <is>
          <t>Ivers Retail</t>
        </is>
      </c>
      <c r="C77" s="4" t="inlineStr">
        <is>
          <t>Sarah Chen</t>
        </is>
      </c>
      <c r="D77" s="4" t="inlineStr">
        <is>
          <t>Closed Won</t>
        </is>
      </c>
      <c r="E77" s="4" t="inlineStr">
        <is>
          <t>New Business</t>
        </is>
      </c>
      <c r="F77" s="13" t="n">
        <v>46318</v>
      </c>
      <c r="G77" s="4" t="n">
        <v>25000</v>
      </c>
      <c r="H77" s="4" t="inlineStr">
        <is>
          <t>USD</t>
        </is>
      </c>
      <c r="I77" s="4" t="n">
        <v>0</v>
      </c>
      <c r="J77" s="4" t="n"/>
      <c r="K77" s="4" t="inlineStr">
        <is>
          <t>No</t>
        </is>
      </c>
      <c r="L77" s="4" t="n"/>
      <c r="M77" s="4" t="n"/>
      <c r="N77" s="4" t="n"/>
      <c r="O77" s="14">
        <f>IF(AND(D77="Closed Won",F77&gt;=Inputs!$B$1,F77&lt;=Inputs!$B$2),G77*(1-N(M77)/100),0)</f>
        <v/>
      </c>
      <c r="P77" s="14">
        <f>IF(AND(D77="Closed Won",F77&gt;=Inputs!$B$1,F77&lt;=Inputs!$B$2),G77*N(M77)/100,0)</f>
        <v/>
      </c>
      <c r="Q77" s="13">
        <f>IF(H77="USD","",_xlfn.MAXIFS(FX!$A$2:$A$100,FX!$B$2:$B$100,H77,FX!$A$2:$A$100,"&lt;="&amp;F77))</f>
        <v/>
      </c>
      <c r="R77" s="15">
        <f>IF(H77="USD",1,SUMIFS(FX!$C$2:$C$100,FX!$A$2:$A$100,Q77,FX!$B$2:$B$100,H77))</f>
        <v/>
      </c>
      <c r="S77" s="14">
        <f>COUNTIF($A$2:A77,A77)=1</f>
        <v/>
      </c>
      <c r="T77" s="14">
        <f>IF(E77="Renewal",Inputs!$B$6,1)</f>
        <v/>
      </c>
      <c r="U77" s="14">
        <f>OR(N(I77)&lt;=Inputs!$B$9,J77&lt;&gt;"")</f>
        <v/>
      </c>
      <c r="V77" s="14">
        <f>IF(L77="",100,IF(N77="",100-M77,N77))</f>
        <v/>
      </c>
      <c r="W77" s="14">
        <f>V77+N(M77)=100</f>
        <v/>
      </c>
      <c r="X77" s="14">
        <f>AND(D77="Closed Won",F77&gt;=Inputs!$B$1,F77&lt;=Inputs!$B$2,S77,U77,W77)</f>
        <v/>
      </c>
      <c r="Y77" s="14">
        <f>IF(X77,G77*R77*T77,0)</f>
        <v/>
      </c>
      <c r="Z77" s="14">
        <f>Y77*V77/100</f>
        <v/>
      </c>
      <c r="AA77" s="14">
        <f>Y77*N(M77)/100</f>
        <v/>
      </c>
      <c r="AB77" s="14">
        <f>IF(AND(X77,K77="Yes",MONTH(F77)=11,Y77&gt;Inputs!$B$8),Inputs!$B$7,0)</f>
        <v/>
      </c>
    </row>
    <row r="78">
      <c r="A78" s="4" t="inlineStr">
        <is>
          <t>OPP-2083</t>
        </is>
      </c>
      <c r="B78" s="4" t="inlineStr">
        <is>
          <t>Larchmont Foods</t>
        </is>
      </c>
      <c r="C78" s="4" t="inlineStr">
        <is>
          <t>Tyler Brooks</t>
        </is>
      </c>
      <c r="D78" s="4" t="inlineStr">
        <is>
          <t>Proposal</t>
        </is>
      </c>
      <c r="E78" s="4" t="inlineStr">
        <is>
          <t>New Business</t>
        </is>
      </c>
      <c r="F78" s="13" t="n">
        <v>46321</v>
      </c>
      <c r="G78" s="4" t="n">
        <v>15000</v>
      </c>
      <c r="H78" s="4" t="inlineStr">
        <is>
          <t>USD</t>
        </is>
      </c>
      <c r="I78" s="4" t="n">
        <v>0</v>
      </c>
      <c r="J78" s="4" t="n"/>
      <c r="K78" s="4" t="inlineStr">
        <is>
          <t>No</t>
        </is>
      </c>
      <c r="L78" s="4" t="n"/>
      <c r="M78" s="4" t="n"/>
      <c r="N78" s="4" t="n"/>
      <c r="O78" s="14">
        <f>IF(AND(D78="Closed Won",F78&gt;=Inputs!$B$1,F78&lt;=Inputs!$B$2),G78*(1-N(M78)/100),0)</f>
        <v/>
      </c>
      <c r="P78" s="14">
        <f>IF(AND(D78="Closed Won",F78&gt;=Inputs!$B$1,F78&lt;=Inputs!$B$2),G78*N(M78)/100,0)</f>
        <v/>
      </c>
      <c r="Q78" s="13">
        <f>IF(H78="USD","",_xlfn.MAXIFS(FX!$A$2:$A$100,FX!$B$2:$B$100,H78,FX!$A$2:$A$100,"&lt;="&amp;F78))</f>
        <v/>
      </c>
      <c r="R78" s="15">
        <f>IF(H78="USD",1,SUMIFS(FX!$C$2:$C$100,FX!$A$2:$A$100,Q78,FX!$B$2:$B$100,H78))</f>
        <v/>
      </c>
      <c r="S78" s="14">
        <f>COUNTIF($A$2:A78,A78)=1</f>
        <v/>
      </c>
      <c r="T78" s="14">
        <f>IF(E78="Renewal",Inputs!$B$6,1)</f>
        <v/>
      </c>
      <c r="U78" s="14">
        <f>OR(N(I78)&lt;=Inputs!$B$9,J78&lt;&gt;"")</f>
        <v/>
      </c>
      <c r="V78" s="14">
        <f>IF(L78="",100,IF(N78="",100-M78,N78))</f>
        <v/>
      </c>
      <c r="W78" s="14">
        <f>V78+N(M78)=100</f>
        <v/>
      </c>
      <c r="X78" s="14">
        <f>AND(D78="Closed Won",F78&gt;=Inputs!$B$1,F78&lt;=Inputs!$B$2,S78,U78,W78)</f>
        <v/>
      </c>
      <c r="Y78" s="14">
        <f>IF(X78,G78*R78*T78,0)</f>
        <v/>
      </c>
      <c r="Z78" s="14">
        <f>Y78*V78/100</f>
        <v/>
      </c>
      <c r="AA78" s="14">
        <f>Y78*N(M78)/100</f>
        <v/>
      </c>
      <c r="AB78" s="14">
        <f>IF(AND(X78,K78="Yes",MONTH(F78)=11,Y78&gt;Inputs!$B$8),Inputs!$B$7,0)</f>
        <v/>
      </c>
    </row>
    <row r="79">
      <c r="A79" s="4" t="inlineStr">
        <is>
          <t>OPP-2072</t>
        </is>
      </c>
      <c r="B79" s="4" t="inlineStr">
        <is>
          <t>Harrow Health</t>
        </is>
      </c>
      <c r="C79" s="4" t="inlineStr">
        <is>
          <t>Ana Lima</t>
        </is>
      </c>
      <c r="D79" s="4" t="inlineStr">
        <is>
          <t>Closed Won</t>
        </is>
      </c>
      <c r="E79" s="4" t="inlineStr">
        <is>
          <t>New Business</t>
        </is>
      </c>
      <c r="F79" s="13" t="n">
        <v>46335</v>
      </c>
      <c r="G79" s="4" t="n">
        <v>52500</v>
      </c>
      <c r="H79" s="4" t="inlineStr">
        <is>
          <t>USD</t>
        </is>
      </c>
      <c r="I79" s="4" t="n">
        <v>0</v>
      </c>
      <c r="J79" s="4" t="n"/>
      <c r="K79" s="4" t="inlineStr">
        <is>
          <t>Yes</t>
        </is>
      </c>
      <c r="L79" s="4" t="n"/>
      <c r="M79" s="4" t="n"/>
      <c r="N79" s="4" t="n"/>
      <c r="O79" s="14">
        <f>IF(AND(D79="Closed Won",F79&gt;=Inputs!$B$1,F79&lt;=Inputs!$B$2),G79*(1-N(M79)/100),0)</f>
        <v/>
      </c>
      <c r="P79" s="14">
        <f>IF(AND(D79="Closed Won",F79&gt;=Inputs!$B$1,F79&lt;=Inputs!$B$2),G79*N(M79)/100,0)</f>
        <v/>
      </c>
      <c r="Q79" s="13">
        <f>IF(H79="USD","",_xlfn.MAXIFS(FX!$A$2:$A$100,FX!$B$2:$B$100,H79,FX!$A$2:$A$100,"&lt;="&amp;F79))</f>
        <v/>
      </c>
      <c r="R79" s="15">
        <f>IF(H79="USD",1,SUMIFS(FX!$C$2:$C$100,FX!$A$2:$A$100,Q79,FX!$B$2:$B$100,H79))</f>
        <v/>
      </c>
      <c r="S79" s="14">
        <f>COUNTIF($A$2:A79,A79)=1</f>
        <v/>
      </c>
      <c r="T79" s="14">
        <f>IF(E79="Renewal",Inputs!$B$6,1)</f>
        <v/>
      </c>
      <c r="U79" s="14">
        <f>OR(N(I79)&lt;=Inputs!$B$9,J79&lt;&gt;"")</f>
        <v/>
      </c>
      <c r="V79" s="14">
        <f>IF(L79="",100,IF(N79="",100-M79,N79))</f>
        <v/>
      </c>
      <c r="W79" s="14">
        <f>V79+N(M79)=100</f>
        <v/>
      </c>
      <c r="X79" s="14">
        <f>AND(D79="Closed Won",F79&gt;=Inputs!$B$1,F79&lt;=Inputs!$B$2,S79,U79,W79)</f>
        <v/>
      </c>
      <c r="Y79" s="14">
        <f>IF(X79,G79*R79*T79,0)</f>
        <v/>
      </c>
      <c r="Z79" s="14">
        <f>Y79*V79/100</f>
        <v/>
      </c>
      <c r="AA79" s="14">
        <f>Y79*N(M79)/100</f>
        <v/>
      </c>
      <c r="AB79" s="14">
        <f>IF(AND(X79,K79="Yes",MONTH(F79)=11,Y79&gt;Inputs!$B$8),Inputs!$B$7,0)</f>
        <v/>
      </c>
    </row>
    <row r="80">
      <c r="A80" s="4" t="inlineStr">
        <is>
          <t>OPP-2046</t>
        </is>
      </c>
      <c r="B80" s="4" t="inlineStr">
        <is>
          <t>Calder Logistics</t>
        </is>
      </c>
      <c r="C80" s="4" t="inlineStr">
        <is>
          <t>Marcus Reed</t>
        </is>
      </c>
      <c r="D80" s="4" t="inlineStr">
        <is>
          <t>Closed Won</t>
        </is>
      </c>
      <c r="E80" s="4" t="inlineStr">
        <is>
          <t>Expansion</t>
        </is>
      </c>
      <c r="F80" s="13" t="n">
        <v>46352</v>
      </c>
      <c r="G80" s="4" t="n">
        <v>19500</v>
      </c>
      <c r="H80" s="4" t="inlineStr">
        <is>
          <t>USD</t>
        </is>
      </c>
      <c r="I80" s="4" t="n">
        <v>10</v>
      </c>
      <c r="J80" s="4" t="n"/>
      <c r="K80" s="4" t="inlineStr">
        <is>
          <t>No</t>
        </is>
      </c>
      <c r="L80" s="4" t="n"/>
      <c r="M80" s="4" t="n"/>
      <c r="N80" s="4" t="n"/>
      <c r="O80" s="14">
        <f>IF(AND(D80="Closed Won",F80&gt;=Inputs!$B$1,F80&lt;=Inputs!$B$2),G80*(1-N(M80)/100),0)</f>
        <v/>
      </c>
      <c r="P80" s="14">
        <f>IF(AND(D80="Closed Won",F80&gt;=Inputs!$B$1,F80&lt;=Inputs!$B$2),G80*N(M80)/100,0)</f>
        <v/>
      </c>
      <c r="Q80" s="13">
        <f>IF(H80="USD","",_xlfn.MAXIFS(FX!$A$2:$A$100,FX!$B$2:$B$100,H80,FX!$A$2:$A$100,"&lt;="&amp;F80))</f>
        <v/>
      </c>
      <c r="R80" s="15">
        <f>IF(H80="USD",1,SUMIFS(FX!$C$2:$C$100,FX!$A$2:$A$100,Q80,FX!$B$2:$B$100,H80))</f>
        <v/>
      </c>
      <c r="S80" s="14">
        <f>COUNTIF($A$2:A80,A80)=1</f>
        <v/>
      </c>
      <c r="T80" s="14">
        <f>IF(E80="Renewal",Inputs!$B$6,1)</f>
        <v/>
      </c>
      <c r="U80" s="14">
        <f>OR(N(I80)&lt;=Inputs!$B$9,J80&lt;&gt;"")</f>
        <v/>
      </c>
      <c r="V80" s="14">
        <f>IF(L80="",100,IF(N80="",100-M80,N80))</f>
        <v/>
      </c>
      <c r="W80" s="14">
        <f>V80+N(M80)=100</f>
        <v/>
      </c>
      <c r="X80" s="14">
        <f>AND(D80="Closed Won",F80&gt;=Inputs!$B$1,F80&lt;=Inputs!$B$2,S80,U80,W80)</f>
        <v/>
      </c>
      <c r="Y80" s="14">
        <f>IF(X80,G80*R80*T80,0)</f>
        <v/>
      </c>
      <c r="Z80" s="14">
        <f>Y80*V80/100</f>
        <v/>
      </c>
      <c r="AA80" s="14">
        <f>Y80*N(M80)/100</f>
        <v/>
      </c>
      <c r="AB80" s="14">
        <f>IF(AND(X80,K80="Yes",MONTH(F80)=11,Y80&gt;Inputs!$B$8),Inputs!$B$7,0)</f>
        <v/>
      </c>
    </row>
    <row r="81">
      <c r="A81" s="4" t="inlineStr">
        <is>
          <t>OPP-2041</t>
        </is>
      </c>
      <c r="B81" s="4" t="inlineStr">
        <is>
          <t>Tamber Labs</t>
        </is>
      </c>
      <c r="C81" s="4" t="inlineStr">
        <is>
          <t>Marcus Reed</t>
        </is>
      </c>
      <c r="D81" s="4" t="inlineStr">
        <is>
          <t>Closed Won</t>
        </is>
      </c>
      <c r="E81" s="4" t="inlineStr">
        <is>
          <t>Renewal</t>
        </is>
      </c>
      <c r="F81" s="13" t="n">
        <v>46387</v>
      </c>
      <c r="G81" s="4" t="n">
        <v>30000</v>
      </c>
      <c r="H81" s="4" t="inlineStr">
        <is>
          <t>USD</t>
        </is>
      </c>
      <c r="I81" s="4" t="n">
        <v>5</v>
      </c>
      <c r="J81" s="4" t="n"/>
      <c r="K81" s="4" t="inlineStr">
        <is>
          <t>No</t>
        </is>
      </c>
      <c r="L81" s="4" t="n"/>
      <c r="M81" s="4" t="n"/>
      <c r="N81" s="4" t="n"/>
      <c r="O81" s="14">
        <f>IF(AND(D81="Closed Won",F81&gt;=Inputs!$B$1,F81&lt;=Inputs!$B$2),G81*(1-N(M81)/100),0)</f>
        <v/>
      </c>
      <c r="P81" s="14">
        <f>IF(AND(D81="Closed Won",F81&gt;=Inputs!$B$1,F81&lt;=Inputs!$B$2),G81*N(M81)/100,0)</f>
        <v/>
      </c>
      <c r="Q81" s="13">
        <f>IF(H81="USD","",_xlfn.MAXIFS(FX!$A$2:$A$100,FX!$B$2:$B$100,H81,FX!$A$2:$A$100,"&lt;="&amp;F81))</f>
        <v/>
      </c>
      <c r="R81" s="15">
        <f>IF(H81="USD",1,SUMIFS(FX!$C$2:$C$100,FX!$A$2:$A$100,Q81,FX!$B$2:$B$100,H81))</f>
        <v/>
      </c>
      <c r="S81" s="14">
        <f>COUNTIF($A$2:A81,A81)=1</f>
        <v/>
      </c>
      <c r="T81" s="14">
        <f>IF(E81="Renewal",Inputs!$B$6,1)</f>
        <v/>
      </c>
      <c r="U81" s="14">
        <f>OR(N(I81)&lt;=Inputs!$B$9,J81&lt;&gt;"")</f>
        <v/>
      </c>
      <c r="V81" s="14">
        <f>IF(L81="",100,IF(N81="",100-M81,N81))</f>
        <v/>
      </c>
      <c r="W81" s="14">
        <f>V81+N(M81)=100</f>
        <v/>
      </c>
      <c r="X81" s="14">
        <f>AND(D81="Closed Won",F81&gt;=Inputs!$B$1,F81&lt;=Inputs!$B$2,S81,U81,W81)</f>
        <v/>
      </c>
      <c r="Y81" s="14">
        <f>IF(X81,G81*R81*T81,0)</f>
        <v/>
      </c>
      <c r="Z81" s="14">
        <f>Y81*V81/100</f>
        <v/>
      </c>
      <c r="AA81" s="14">
        <f>Y81*N(M81)/100</f>
        <v/>
      </c>
      <c r="AB81" s="14">
        <f>IF(AND(X81,K81="Yes",MONTH(F81)=11,Y81&gt;Inputs!$B$8),Inputs!$B$7,0)</f>
        <v/>
      </c>
    </row>
    <row r="82">
      <c r="A82" s="4" t="inlineStr">
        <is>
          <t>OPP-2036</t>
        </is>
      </c>
      <c r="B82" s="4" t="inlineStr">
        <is>
          <t>Wrenfield Supply</t>
        </is>
      </c>
      <c r="C82" s="4" t="inlineStr">
        <is>
          <t>Sarah Chen</t>
        </is>
      </c>
      <c r="D82" s="4" t="inlineStr">
        <is>
          <t>Closed Won</t>
        </is>
      </c>
      <c r="E82" s="4" t="inlineStr">
        <is>
          <t>Renewal</t>
        </is>
      </c>
      <c r="F82" s="13" t="n">
        <v>46335</v>
      </c>
      <c r="G82" s="4" t="n">
        <v>19500</v>
      </c>
      <c r="H82" s="4" t="inlineStr">
        <is>
          <t>USD</t>
        </is>
      </c>
      <c r="I82" s="4" t="n">
        <v>15</v>
      </c>
      <c r="J82" s="4" t="n"/>
      <c r="K82" s="4" t="inlineStr">
        <is>
          <t>No</t>
        </is>
      </c>
      <c r="L82" s="4" t="n"/>
      <c r="M82" s="4" t="n"/>
      <c r="N82" s="4" t="n"/>
      <c r="O82" s="14">
        <f>IF(AND(D82="Closed Won",F82&gt;=Inputs!$B$1,F82&lt;=Inputs!$B$2),G82*(1-N(M82)/100),0)</f>
        <v/>
      </c>
      <c r="P82" s="14">
        <f>IF(AND(D82="Closed Won",F82&gt;=Inputs!$B$1,F82&lt;=Inputs!$B$2),G82*N(M82)/100,0)</f>
        <v/>
      </c>
      <c r="Q82" s="13">
        <f>IF(H82="USD","",_xlfn.MAXIFS(FX!$A$2:$A$100,FX!$B$2:$B$100,H82,FX!$A$2:$A$100,"&lt;="&amp;F82))</f>
        <v/>
      </c>
      <c r="R82" s="15">
        <f>IF(H82="USD",1,SUMIFS(FX!$C$2:$C$100,FX!$A$2:$A$100,Q82,FX!$B$2:$B$100,H82))</f>
        <v/>
      </c>
      <c r="S82" s="14">
        <f>COUNTIF($A$2:A82,A82)=1</f>
        <v/>
      </c>
      <c r="T82" s="14">
        <f>IF(E82="Renewal",Inputs!$B$6,1)</f>
        <v/>
      </c>
      <c r="U82" s="14">
        <f>OR(N(I82)&lt;=Inputs!$B$9,J82&lt;&gt;"")</f>
        <v/>
      </c>
      <c r="V82" s="14">
        <f>IF(L82="",100,IF(N82="",100-M82,N82))</f>
        <v/>
      </c>
      <c r="W82" s="14">
        <f>V82+N(M82)=100</f>
        <v/>
      </c>
      <c r="X82" s="14">
        <f>AND(D82="Closed Won",F82&gt;=Inputs!$B$1,F82&lt;=Inputs!$B$2,S82,U82,W82)</f>
        <v/>
      </c>
      <c r="Y82" s="14">
        <f>IF(X82,G82*R82*T82,0)</f>
        <v/>
      </c>
      <c r="Z82" s="14">
        <f>Y82*V82/100</f>
        <v/>
      </c>
      <c r="AA82" s="14">
        <f>Y82*N(M82)/100</f>
        <v/>
      </c>
      <c r="AB82" s="14">
        <f>IF(AND(X82,K82="Yes",MONTH(F82)=11,Y82&gt;Inputs!$B$8),Inputs!$B$7,0)</f>
        <v/>
      </c>
    </row>
    <row r="83">
      <c r="A83" s="4" t="inlineStr">
        <is>
          <t>OPP-2001</t>
        </is>
      </c>
      <c r="B83" s="4" t="inlineStr">
        <is>
          <t>Marlow Health</t>
        </is>
      </c>
      <c r="C83" s="4" t="inlineStr">
        <is>
          <t>Priya Shah</t>
        </is>
      </c>
      <c r="D83" s="4" t="inlineStr">
        <is>
          <t>Closed Won</t>
        </is>
      </c>
      <c r="E83" s="4" t="inlineStr">
        <is>
          <t>Renewal</t>
        </is>
      </c>
      <c r="F83" s="13" t="n">
        <v>46312</v>
      </c>
      <c r="G83" s="4" t="n">
        <v>26500</v>
      </c>
      <c r="H83" s="4" t="inlineStr">
        <is>
          <t>USD</t>
        </is>
      </c>
      <c r="I83" s="4" t="n">
        <v>5</v>
      </c>
      <c r="J83" s="4" t="n"/>
      <c r="K83" s="4" t="inlineStr">
        <is>
          <t>No</t>
        </is>
      </c>
      <c r="L83" s="4" t="n"/>
      <c r="M83" s="4" t="n"/>
      <c r="N83" s="4" t="n"/>
      <c r="O83" s="14">
        <f>IF(AND(D83="Closed Won",F83&gt;=Inputs!$B$1,F83&lt;=Inputs!$B$2),G83*(1-N(M83)/100),0)</f>
        <v/>
      </c>
      <c r="P83" s="14">
        <f>IF(AND(D83="Closed Won",F83&gt;=Inputs!$B$1,F83&lt;=Inputs!$B$2),G83*N(M83)/100,0)</f>
        <v/>
      </c>
      <c r="Q83" s="13">
        <f>IF(H83="USD","",_xlfn.MAXIFS(FX!$A$2:$A$100,FX!$B$2:$B$100,H83,FX!$A$2:$A$100,"&lt;="&amp;F83))</f>
        <v/>
      </c>
      <c r="R83" s="15">
        <f>IF(H83="USD",1,SUMIFS(FX!$C$2:$C$100,FX!$A$2:$A$100,Q83,FX!$B$2:$B$100,H83))</f>
        <v/>
      </c>
      <c r="S83" s="14">
        <f>COUNTIF($A$2:A83,A83)=1</f>
        <v/>
      </c>
      <c r="T83" s="14">
        <f>IF(E83="Renewal",Inputs!$B$6,1)</f>
        <v/>
      </c>
      <c r="U83" s="14">
        <f>OR(N(I83)&lt;=Inputs!$B$9,J83&lt;&gt;"")</f>
        <v/>
      </c>
      <c r="V83" s="14">
        <f>IF(L83="",100,IF(N83="",100-M83,N83))</f>
        <v/>
      </c>
      <c r="W83" s="14">
        <f>V83+N(M83)=100</f>
        <v/>
      </c>
      <c r="X83" s="14">
        <f>AND(D83="Closed Won",F83&gt;=Inputs!$B$1,F83&lt;=Inputs!$B$2,S83,U83,W83)</f>
        <v/>
      </c>
      <c r="Y83" s="14">
        <f>IF(X83,G83*R83*T83,0)</f>
        <v/>
      </c>
      <c r="Z83" s="14">
        <f>Y83*V83/100</f>
        <v/>
      </c>
      <c r="AA83" s="14">
        <f>Y83*N(M83)/100</f>
        <v/>
      </c>
      <c r="AB83" s="14">
        <f>IF(AND(X83,K83="Yes",MONTH(F83)=11,Y83&gt;Inputs!$B$8),Inputs!$B$7,0)</f>
        <v/>
      </c>
    </row>
    <row r="84">
      <c r="A84" s="4" t="inlineStr">
        <is>
          <t>OPP-2031</t>
        </is>
      </c>
      <c r="B84" s="4" t="inlineStr">
        <is>
          <t>Calder Foods</t>
        </is>
      </c>
      <c r="C84" s="4" t="inlineStr">
        <is>
          <t>Sarah Chen</t>
        </is>
      </c>
      <c r="D84" s="4" t="inlineStr">
        <is>
          <t>Closed Won</t>
        </is>
      </c>
      <c r="E84" s="4" t="inlineStr">
        <is>
          <t>New Business</t>
        </is>
      </c>
      <c r="F84" s="13" t="n">
        <v>46362</v>
      </c>
      <c r="G84" s="4" t="n">
        <v>26500</v>
      </c>
      <c r="H84" s="4" t="inlineStr">
        <is>
          <t>USD</t>
        </is>
      </c>
      <c r="I84" s="4" t="n">
        <v>10</v>
      </c>
      <c r="J84" s="4" t="n"/>
      <c r="K84" s="4" t="inlineStr">
        <is>
          <t>No</t>
        </is>
      </c>
      <c r="L84" s="4" t="n"/>
      <c r="M84" s="4" t="n"/>
      <c r="N84" s="4" t="n"/>
      <c r="O84" s="14">
        <f>IF(AND(D84="Closed Won",F84&gt;=Inputs!$B$1,F84&lt;=Inputs!$B$2),G84*(1-N(M84)/100),0)</f>
        <v/>
      </c>
      <c r="P84" s="14">
        <f>IF(AND(D84="Closed Won",F84&gt;=Inputs!$B$1,F84&lt;=Inputs!$B$2),G84*N(M84)/100,0)</f>
        <v/>
      </c>
      <c r="Q84" s="13">
        <f>IF(H84="USD","",_xlfn.MAXIFS(FX!$A$2:$A$100,FX!$B$2:$B$100,H84,FX!$A$2:$A$100,"&lt;="&amp;F84))</f>
        <v/>
      </c>
      <c r="R84" s="15">
        <f>IF(H84="USD",1,SUMIFS(FX!$C$2:$C$100,FX!$A$2:$A$100,Q84,FX!$B$2:$B$100,H84))</f>
        <v/>
      </c>
      <c r="S84" s="14">
        <f>COUNTIF($A$2:A84,A84)=1</f>
        <v/>
      </c>
      <c r="T84" s="14">
        <f>IF(E84="Renewal",Inputs!$B$6,1)</f>
        <v/>
      </c>
      <c r="U84" s="14">
        <f>OR(N(I84)&lt;=Inputs!$B$9,J84&lt;&gt;"")</f>
        <v/>
      </c>
      <c r="V84" s="14">
        <f>IF(L84="",100,IF(N84="",100-M84,N84))</f>
        <v/>
      </c>
      <c r="W84" s="14">
        <f>V84+N(M84)=100</f>
        <v/>
      </c>
      <c r="X84" s="14">
        <f>AND(D84="Closed Won",F84&gt;=Inputs!$B$1,F84&lt;=Inputs!$B$2,S84,U84,W84)</f>
        <v/>
      </c>
      <c r="Y84" s="14">
        <f>IF(X84,G84*R84*T84,0)</f>
        <v/>
      </c>
      <c r="Z84" s="14">
        <f>Y84*V84/100</f>
        <v/>
      </c>
      <c r="AA84" s="14">
        <f>Y84*N(M84)/100</f>
        <v/>
      </c>
      <c r="AB84" s="14">
        <f>IF(AND(X84,K84="Yes",MONTH(F84)=11,Y84&gt;Inputs!$B$8),Inputs!$B$7,0)</f>
        <v/>
      </c>
    </row>
    <row r="85">
      <c r="A85" s="4" t="inlineStr">
        <is>
          <t>OPP-2010</t>
        </is>
      </c>
      <c r="B85" s="4" t="inlineStr">
        <is>
          <t>Wrenfield Logistics</t>
        </is>
      </c>
      <c r="C85" s="4" t="inlineStr">
        <is>
          <t>Priya Shah</t>
        </is>
      </c>
      <c r="D85" s="4" t="inlineStr">
        <is>
          <t>Closed Won</t>
        </is>
      </c>
      <c r="E85" s="4" t="inlineStr">
        <is>
          <t>Expansion</t>
        </is>
      </c>
      <c r="F85" s="13" t="n">
        <v>46304</v>
      </c>
      <c r="G85" s="4" t="n">
        <v>22500</v>
      </c>
      <c r="H85" s="4" t="inlineStr">
        <is>
          <t>USD</t>
        </is>
      </c>
      <c r="I85" s="4" t="n">
        <v>10</v>
      </c>
      <c r="J85" s="4" t="n"/>
      <c r="K85" s="4" t="inlineStr">
        <is>
          <t>No</t>
        </is>
      </c>
      <c r="L85" s="4" t="n"/>
      <c r="M85" s="4" t="n"/>
      <c r="N85" s="4" t="n"/>
      <c r="O85" s="14">
        <f>IF(AND(D85="Closed Won",F85&gt;=Inputs!$B$1,F85&lt;=Inputs!$B$2),G85*(1-N(M85)/100),0)</f>
        <v/>
      </c>
      <c r="P85" s="14">
        <f>IF(AND(D85="Closed Won",F85&gt;=Inputs!$B$1,F85&lt;=Inputs!$B$2),G85*N(M85)/100,0)</f>
        <v/>
      </c>
      <c r="Q85" s="13">
        <f>IF(H85="USD","",_xlfn.MAXIFS(FX!$A$2:$A$100,FX!$B$2:$B$100,H85,FX!$A$2:$A$100,"&lt;="&amp;F85))</f>
        <v/>
      </c>
      <c r="R85" s="15">
        <f>IF(H85="USD",1,SUMIFS(FX!$C$2:$C$100,FX!$A$2:$A$100,Q85,FX!$B$2:$B$100,H85))</f>
        <v/>
      </c>
      <c r="S85" s="14">
        <f>COUNTIF($A$2:A85,A85)=1</f>
        <v/>
      </c>
      <c r="T85" s="14">
        <f>IF(E85="Renewal",Inputs!$B$6,1)</f>
        <v/>
      </c>
      <c r="U85" s="14">
        <f>OR(N(I85)&lt;=Inputs!$B$9,J85&lt;&gt;"")</f>
        <v/>
      </c>
      <c r="V85" s="14">
        <f>IF(L85="",100,IF(N85="",100-M85,N85))</f>
        <v/>
      </c>
      <c r="W85" s="14">
        <f>V85+N(M85)=100</f>
        <v/>
      </c>
      <c r="X85" s="14">
        <f>AND(D85="Closed Won",F85&gt;=Inputs!$B$1,F85&lt;=Inputs!$B$2,S85,U85,W85)</f>
        <v/>
      </c>
      <c r="Y85" s="14">
        <f>IF(X85,G85*R85*T85,0)</f>
        <v/>
      </c>
      <c r="Z85" s="14">
        <f>Y85*V85/100</f>
        <v/>
      </c>
      <c r="AA85" s="14">
        <f>Y85*N(M85)/100</f>
        <v/>
      </c>
      <c r="AB85" s="14">
        <f>IF(AND(X85,K85="Yes",MONTH(F85)=11,Y85&gt;Inputs!$B$8),Inputs!$B$7,0)</f>
        <v/>
      </c>
    </row>
    <row r="86">
      <c r="A86" s="4" t="inlineStr">
        <is>
          <t>OPP-2063</t>
        </is>
      </c>
      <c r="B86" s="4" t="inlineStr">
        <is>
          <t>Bell Builders</t>
        </is>
      </c>
      <c r="C86" s="4" t="inlineStr">
        <is>
          <t>Dan Ortiz</t>
        </is>
      </c>
      <c r="D86" s="4" t="inlineStr">
        <is>
          <t>Closed Won</t>
        </is>
      </c>
      <c r="E86" s="4" t="inlineStr">
        <is>
          <t>Expansion</t>
        </is>
      </c>
      <c r="F86" s="13" t="n">
        <v>46364</v>
      </c>
      <c r="G86" s="4" t="n">
        <v>29500</v>
      </c>
      <c r="H86" s="4" t="inlineStr">
        <is>
          <t>USD</t>
        </is>
      </c>
      <c r="I86" s="4" t="n">
        <v>15</v>
      </c>
      <c r="J86" s="4" t="n"/>
      <c r="K86" s="4" t="inlineStr">
        <is>
          <t>No</t>
        </is>
      </c>
      <c r="L86" s="4" t="n"/>
      <c r="M86" s="4" t="n"/>
      <c r="N86" s="4" t="n"/>
      <c r="O86" s="14">
        <f>IF(AND(D86="Closed Won",F86&gt;=Inputs!$B$1,F86&lt;=Inputs!$B$2),G86*(1-N(M86)/100),0)</f>
        <v/>
      </c>
      <c r="P86" s="14">
        <f>IF(AND(D86="Closed Won",F86&gt;=Inputs!$B$1,F86&lt;=Inputs!$B$2),G86*N(M86)/100,0)</f>
        <v/>
      </c>
      <c r="Q86" s="13">
        <f>IF(H86="USD","",_xlfn.MAXIFS(FX!$A$2:$A$100,FX!$B$2:$B$100,H86,FX!$A$2:$A$100,"&lt;="&amp;F86))</f>
        <v/>
      </c>
      <c r="R86" s="15">
        <f>IF(H86="USD",1,SUMIFS(FX!$C$2:$C$100,FX!$A$2:$A$100,Q86,FX!$B$2:$B$100,H86))</f>
        <v/>
      </c>
      <c r="S86" s="14">
        <f>COUNTIF($A$2:A86,A86)=1</f>
        <v/>
      </c>
      <c r="T86" s="14">
        <f>IF(E86="Renewal",Inputs!$B$6,1)</f>
        <v/>
      </c>
      <c r="U86" s="14">
        <f>OR(N(I86)&lt;=Inputs!$B$9,J86&lt;&gt;"")</f>
        <v/>
      </c>
      <c r="V86" s="14">
        <f>IF(L86="",100,IF(N86="",100-M86,N86))</f>
        <v/>
      </c>
      <c r="W86" s="14">
        <f>V86+N(M86)=100</f>
        <v/>
      </c>
      <c r="X86" s="14">
        <f>AND(D86="Closed Won",F86&gt;=Inputs!$B$1,F86&lt;=Inputs!$B$2,S86,U86,W86)</f>
        <v/>
      </c>
      <c r="Y86" s="14">
        <f>IF(X86,G86*R86*T86,0)</f>
        <v/>
      </c>
      <c r="Z86" s="14">
        <f>Y86*V86/100</f>
        <v/>
      </c>
      <c r="AA86" s="14">
        <f>Y86*N(M86)/100</f>
        <v/>
      </c>
      <c r="AB86" s="14">
        <f>IF(AND(X86,K86="Yes",MONTH(F86)=11,Y86&gt;Inputs!$B$8),Inputs!$B$7,0)</f>
        <v/>
      </c>
    </row>
    <row r="87">
      <c r="A87" s="4" t="inlineStr">
        <is>
          <t>OPP-2076</t>
        </is>
      </c>
      <c r="B87" s="4" t="inlineStr">
        <is>
          <t>Harrow Dental</t>
        </is>
      </c>
      <c r="C87" s="4" t="inlineStr">
        <is>
          <t>Ana Lima</t>
        </is>
      </c>
      <c r="D87" s="4" t="inlineStr">
        <is>
          <t>Closed Won</t>
        </is>
      </c>
      <c r="E87" s="4" t="inlineStr">
        <is>
          <t>Renewal</t>
        </is>
      </c>
      <c r="F87" s="13" t="n">
        <v>46362</v>
      </c>
      <c r="G87" s="4" t="n">
        <v>13000</v>
      </c>
      <c r="H87" s="4" t="inlineStr">
        <is>
          <t>USD</t>
        </is>
      </c>
      <c r="I87" s="4" t="n">
        <v>0</v>
      </c>
      <c r="J87" s="4" t="n"/>
      <c r="K87" s="4" t="inlineStr">
        <is>
          <t>No</t>
        </is>
      </c>
      <c r="L87" s="4" t="n"/>
      <c r="M87" s="4" t="n"/>
      <c r="N87" s="4" t="n"/>
      <c r="O87" s="14">
        <f>IF(AND(D87="Closed Won",F87&gt;=Inputs!$B$1,F87&lt;=Inputs!$B$2),G87*(1-N(M87)/100),0)</f>
        <v/>
      </c>
      <c r="P87" s="14">
        <f>IF(AND(D87="Closed Won",F87&gt;=Inputs!$B$1,F87&lt;=Inputs!$B$2),G87*N(M87)/100,0)</f>
        <v/>
      </c>
      <c r="Q87" s="13">
        <f>IF(H87="USD","",_xlfn.MAXIFS(FX!$A$2:$A$100,FX!$B$2:$B$100,H87,FX!$A$2:$A$100,"&lt;="&amp;F87))</f>
        <v/>
      </c>
      <c r="R87" s="15">
        <f>IF(H87="USD",1,SUMIFS(FX!$C$2:$C$100,FX!$A$2:$A$100,Q87,FX!$B$2:$B$100,H87))</f>
        <v/>
      </c>
      <c r="S87" s="14">
        <f>COUNTIF($A$2:A87,A87)=1</f>
        <v/>
      </c>
      <c r="T87" s="14">
        <f>IF(E87="Renewal",Inputs!$B$6,1)</f>
        <v/>
      </c>
      <c r="U87" s="14">
        <f>OR(N(I87)&lt;=Inputs!$B$9,J87&lt;&gt;"")</f>
        <v/>
      </c>
      <c r="V87" s="14">
        <f>IF(L87="",100,IF(N87="",100-M87,N87))</f>
        <v/>
      </c>
      <c r="W87" s="14">
        <f>V87+N(M87)=100</f>
        <v/>
      </c>
      <c r="X87" s="14">
        <f>AND(D87="Closed Won",F87&gt;=Inputs!$B$1,F87&lt;=Inputs!$B$2,S87,U87,W87)</f>
        <v/>
      </c>
      <c r="Y87" s="14">
        <f>IF(X87,G87*R87*T87,0)</f>
        <v/>
      </c>
      <c r="Z87" s="14">
        <f>Y87*V87/100</f>
        <v/>
      </c>
      <c r="AA87" s="14">
        <f>Y87*N(M87)/100</f>
        <v/>
      </c>
      <c r="AB87" s="14">
        <f>IF(AND(X87,K87="Yes",MONTH(F87)=11,Y87&gt;Inputs!$B$8),Inputs!$B$7,0)</f>
        <v/>
      </c>
    </row>
    <row r="88">
      <c r="A88" s="4" t="inlineStr">
        <is>
          <t>OPP-2053</t>
        </is>
      </c>
      <c r="B88" s="4" t="inlineStr">
        <is>
          <t>Ivers Energy</t>
        </is>
      </c>
      <c r="C88" s="4" t="inlineStr">
        <is>
          <t>Marcus Reed</t>
        </is>
      </c>
      <c r="D88" s="4" t="inlineStr">
        <is>
          <t>Closed Won</t>
        </is>
      </c>
      <c r="E88" s="4" t="inlineStr">
        <is>
          <t>Expansion</t>
        </is>
      </c>
      <c r="F88" s="13" t="n">
        <v>46384</v>
      </c>
      <c r="G88" s="4" t="n">
        <v>35000</v>
      </c>
      <c r="H88" s="4" t="inlineStr">
        <is>
          <t>USD</t>
        </is>
      </c>
      <c r="I88" s="4" t="n">
        <v>0</v>
      </c>
      <c r="J88" s="4" t="n"/>
      <c r="K88" s="4" t="inlineStr">
        <is>
          <t>No</t>
        </is>
      </c>
      <c r="L88" s="4" t="n"/>
      <c r="M88" s="4" t="n"/>
      <c r="N88" s="4" t="n"/>
      <c r="O88" s="14">
        <f>IF(AND(D88="Closed Won",F88&gt;=Inputs!$B$1,F88&lt;=Inputs!$B$2),G88*(1-N(M88)/100),0)</f>
        <v/>
      </c>
      <c r="P88" s="14">
        <f>IF(AND(D88="Closed Won",F88&gt;=Inputs!$B$1,F88&lt;=Inputs!$B$2),G88*N(M88)/100,0)</f>
        <v/>
      </c>
      <c r="Q88" s="13">
        <f>IF(H88="USD","",_xlfn.MAXIFS(FX!$A$2:$A$100,FX!$B$2:$B$100,H88,FX!$A$2:$A$100,"&lt;="&amp;F88))</f>
        <v/>
      </c>
      <c r="R88" s="15">
        <f>IF(H88="USD",1,SUMIFS(FX!$C$2:$C$100,FX!$A$2:$A$100,Q88,FX!$B$2:$B$100,H88))</f>
        <v/>
      </c>
      <c r="S88" s="14">
        <f>COUNTIF($A$2:A88,A88)=1</f>
        <v/>
      </c>
      <c r="T88" s="14">
        <f>IF(E88="Renewal",Inputs!$B$6,1)</f>
        <v/>
      </c>
      <c r="U88" s="14">
        <f>OR(N(I88)&lt;=Inputs!$B$9,J88&lt;&gt;"")</f>
        <v/>
      </c>
      <c r="V88" s="14">
        <f>IF(L88="",100,IF(N88="",100-M88,N88))</f>
        <v/>
      </c>
      <c r="W88" s="14">
        <f>V88+N(M88)=100</f>
        <v/>
      </c>
      <c r="X88" s="14">
        <f>AND(D88="Closed Won",F88&gt;=Inputs!$B$1,F88&lt;=Inputs!$B$2,S88,U88,W88)</f>
        <v/>
      </c>
      <c r="Y88" s="14">
        <f>IF(X88,G88*R88*T88,0)</f>
        <v/>
      </c>
      <c r="Z88" s="14">
        <f>Y88*V88/100</f>
        <v/>
      </c>
      <c r="AA88" s="14">
        <f>Y88*N(M88)/100</f>
        <v/>
      </c>
      <c r="AB88" s="14">
        <f>IF(AND(X88,K88="Yes",MONTH(F88)=11,Y88&gt;Inputs!$B$8),Inputs!$B$7,0)</f>
        <v/>
      </c>
    </row>
    <row r="89">
      <c r="A89" s="4" t="inlineStr">
        <is>
          <t>OPP-2078</t>
        </is>
      </c>
      <c r="B89" s="4" t="inlineStr">
        <is>
          <t>Kessel Health</t>
        </is>
      </c>
      <c r="C89" s="4" t="inlineStr">
        <is>
          <t>Marcus Reed</t>
        </is>
      </c>
      <c r="D89" s="4" t="inlineStr">
        <is>
          <t>Negotiation</t>
        </is>
      </c>
      <c r="E89" s="4" t="inlineStr">
        <is>
          <t>New Business</t>
        </is>
      </c>
      <c r="F89" s="13" t="n">
        <v>46330</v>
      </c>
      <c r="G89" s="4" t="n">
        <v>51000</v>
      </c>
      <c r="H89" s="4" t="inlineStr">
        <is>
          <t>USD</t>
        </is>
      </c>
      <c r="I89" s="4" t="n">
        <v>0</v>
      </c>
      <c r="J89" s="4" t="n"/>
      <c r="K89" s="4" t="inlineStr">
        <is>
          <t>No</t>
        </is>
      </c>
      <c r="L89" s="4" t="n"/>
      <c r="M89" s="4" t="n"/>
      <c r="N89" s="4" t="n"/>
      <c r="O89" s="14">
        <f>IF(AND(D89="Closed Won",F89&gt;=Inputs!$B$1,F89&lt;=Inputs!$B$2),G89*(1-N(M89)/100),0)</f>
        <v/>
      </c>
      <c r="P89" s="14">
        <f>IF(AND(D89="Closed Won",F89&gt;=Inputs!$B$1,F89&lt;=Inputs!$B$2),G89*N(M89)/100,0)</f>
        <v/>
      </c>
      <c r="Q89" s="13">
        <f>IF(H89="USD","",_xlfn.MAXIFS(FX!$A$2:$A$100,FX!$B$2:$B$100,H89,FX!$A$2:$A$100,"&lt;="&amp;F89))</f>
        <v/>
      </c>
      <c r="R89" s="15">
        <f>IF(H89="USD",1,SUMIFS(FX!$C$2:$C$100,FX!$A$2:$A$100,Q89,FX!$B$2:$B$100,H89))</f>
        <v/>
      </c>
      <c r="S89" s="14">
        <f>COUNTIF($A$2:A89,A89)=1</f>
        <v/>
      </c>
      <c r="T89" s="14">
        <f>IF(E89="Renewal",Inputs!$B$6,1)</f>
        <v/>
      </c>
      <c r="U89" s="14">
        <f>OR(N(I89)&lt;=Inputs!$B$9,J89&lt;&gt;"")</f>
        <v/>
      </c>
      <c r="V89" s="14">
        <f>IF(L89="",100,IF(N89="",100-M89,N89))</f>
        <v/>
      </c>
      <c r="W89" s="14">
        <f>V89+N(M89)=100</f>
        <v/>
      </c>
      <c r="X89" s="14">
        <f>AND(D89="Closed Won",F89&gt;=Inputs!$B$1,F89&lt;=Inputs!$B$2,S89,U89,W89)</f>
        <v/>
      </c>
      <c r="Y89" s="14">
        <f>IF(X89,G89*R89*T89,0)</f>
        <v/>
      </c>
      <c r="Z89" s="14">
        <f>Y89*V89/100</f>
        <v/>
      </c>
      <c r="AA89" s="14">
        <f>Y89*N(M89)/100</f>
        <v/>
      </c>
      <c r="AB89" s="14">
        <f>IF(AND(X89,K89="Yes",MONTH(F89)=11,Y89&gt;Inputs!$B$8),Inputs!$B$7,0)</f>
        <v/>
      </c>
    </row>
    <row r="90">
      <c r="A90" s="4" t="inlineStr">
        <is>
          <t>OPP-2061</t>
        </is>
      </c>
      <c r="B90" s="4" t="inlineStr">
        <is>
          <t>Tamber Freight</t>
        </is>
      </c>
      <c r="C90" s="4" t="inlineStr">
        <is>
          <t>Dan Ortiz</t>
        </is>
      </c>
      <c r="D90" s="4" t="inlineStr">
        <is>
          <t>Closed Won</t>
        </is>
      </c>
      <c r="E90" s="4" t="inlineStr">
        <is>
          <t>Expansion</t>
        </is>
      </c>
      <c r="F90" s="13" t="n">
        <v>46386</v>
      </c>
      <c r="G90" s="4" t="n">
        <v>16000</v>
      </c>
      <c r="H90" s="4" t="inlineStr">
        <is>
          <t>USD</t>
        </is>
      </c>
      <c r="I90" s="4" t="n">
        <v>10</v>
      </c>
      <c r="J90" s="4" t="n"/>
      <c r="K90" s="4" t="inlineStr">
        <is>
          <t>No</t>
        </is>
      </c>
      <c r="L90" s="4" t="n"/>
      <c r="M90" s="4" t="n"/>
      <c r="N90" s="4" t="n"/>
      <c r="O90" s="14">
        <f>IF(AND(D90="Closed Won",F90&gt;=Inputs!$B$1,F90&lt;=Inputs!$B$2),G90*(1-N(M90)/100),0)</f>
        <v/>
      </c>
      <c r="P90" s="14">
        <f>IF(AND(D90="Closed Won",F90&gt;=Inputs!$B$1,F90&lt;=Inputs!$B$2),G90*N(M90)/100,0)</f>
        <v/>
      </c>
      <c r="Q90" s="13">
        <f>IF(H90="USD","",_xlfn.MAXIFS(FX!$A$2:$A$100,FX!$B$2:$B$100,H90,FX!$A$2:$A$100,"&lt;="&amp;F90))</f>
        <v/>
      </c>
      <c r="R90" s="15">
        <f>IF(H90="USD",1,SUMIFS(FX!$C$2:$C$100,FX!$A$2:$A$100,Q90,FX!$B$2:$B$100,H90))</f>
        <v/>
      </c>
      <c r="S90" s="14">
        <f>COUNTIF($A$2:A90,A90)=1</f>
        <v/>
      </c>
      <c r="T90" s="14">
        <f>IF(E90="Renewal",Inputs!$B$6,1)</f>
        <v/>
      </c>
      <c r="U90" s="14">
        <f>OR(N(I90)&lt;=Inputs!$B$9,J90&lt;&gt;"")</f>
        <v/>
      </c>
      <c r="V90" s="14">
        <f>IF(L90="",100,IF(N90="",100-M90,N90))</f>
        <v/>
      </c>
      <c r="W90" s="14">
        <f>V90+N(M90)=100</f>
        <v/>
      </c>
      <c r="X90" s="14">
        <f>AND(D90="Closed Won",F90&gt;=Inputs!$B$1,F90&lt;=Inputs!$B$2,S90,U90,W90)</f>
        <v/>
      </c>
      <c r="Y90" s="14">
        <f>IF(X90,G90*R90*T90,0)</f>
        <v/>
      </c>
      <c r="Z90" s="14">
        <f>Y90*V90/100</f>
        <v/>
      </c>
      <c r="AA90" s="14">
        <f>Y90*N(M90)/100</f>
        <v/>
      </c>
      <c r="AB90" s="14">
        <f>IF(AND(X90,K90="Yes",MONTH(F90)=11,Y90&gt;Inputs!$B$8),Inputs!$B$7,0)</f>
        <v/>
      </c>
    </row>
    <row r="91">
      <c r="A91" s="4" t="inlineStr">
        <is>
          <t>OPP-2025</t>
        </is>
      </c>
      <c r="B91" s="4" t="inlineStr">
        <is>
          <t>Tamber Health</t>
        </is>
      </c>
      <c r="C91" s="4" t="inlineStr">
        <is>
          <t>Tyler Brooks</t>
        </is>
      </c>
      <c r="D91" s="4" t="inlineStr">
        <is>
          <t>Closed Won</t>
        </is>
      </c>
      <c r="E91" s="4" t="inlineStr">
        <is>
          <t>Renewal</t>
        </is>
      </c>
      <c r="F91" s="13" t="n">
        <v>46310</v>
      </c>
      <c r="G91" s="4" t="n">
        <v>22000</v>
      </c>
      <c r="H91" s="4" t="inlineStr">
        <is>
          <t>USD</t>
        </is>
      </c>
      <c r="I91" s="4" t="n">
        <v>10</v>
      </c>
      <c r="J91" s="4" t="n"/>
      <c r="K91" s="4" t="inlineStr">
        <is>
          <t>No</t>
        </is>
      </c>
      <c r="L91" s="4" t="n"/>
      <c r="M91" s="4" t="n"/>
      <c r="N91" s="4" t="n"/>
      <c r="O91" s="14">
        <f>IF(AND(D91="Closed Won",F91&gt;=Inputs!$B$1,F91&lt;=Inputs!$B$2),G91*(1-N(M91)/100),0)</f>
        <v/>
      </c>
      <c r="P91" s="14">
        <f>IF(AND(D91="Closed Won",F91&gt;=Inputs!$B$1,F91&lt;=Inputs!$B$2),G91*N(M91)/100,0)</f>
        <v/>
      </c>
      <c r="Q91" s="13">
        <f>IF(H91="USD","",_xlfn.MAXIFS(FX!$A$2:$A$100,FX!$B$2:$B$100,H91,FX!$A$2:$A$100,"&lt;="&amp;F91))</f>
        <v/>
      </c>
      <c r="R91" s="15">
        <f>IF(H91="USD",1,SUMIFS(FX!$C$2:$C$100,FX!$A$2:$A$100,Q91,FX!$B$2:$B$100,H91))</f>
        <v/>
      </c>
      <c r="S91" s="14">
        <f>COUNTIF($A$2:A91,A91)=1</f>
        <v/>
      </c>
      <c r="T91" s="14">
        <f>IF(E91="Renewal",Inputs!$B$6,1)</f>
        <v/>
      </c>
      <c r="U91" s="14">
        <f>OR(N(I91)&lt;=Inputs!$B$9,J91&lt;&gt;"")</f>
        <v/>
      </c>
      <c r="V91" s="14">
        <f>IF(L91="",100,IF(N91="",100-M91,N91))</f>
        <v/>
      </c>
      <c r="W91" s="14">
        <f>V91+N(M91)=100</f>
        <v/>
      </c>
      <c r="X91" s="14">
        <f>AND(D91="Closed Won",F91&gt;=Inputs!$B$1,F91&lt;=Inputs!$B$2,S91,U91,W91)</f>
        <v/>
      </c>
      <c r="Y91" s="14">
        <f>IF(X91,G91*R91*T91,0)</f>
        <v/>
      </c>
      <c r="Z91" s="14">
        <f>Y91*V91/100</f>
        <v/>
      </c>
      <c r="AA91" s="14">
        <f>Y91*N(M91)/100</f>
        <v/>
      </c>
      <c r="AB91" s="14">
        <f>IF(AND(X91,K91="Yes",MONTH(F91)=11,Y91&gt;Inputs!$B$8),Inputs!$B$7,0)</f>
        <v/>
      </c>
    </row>
    <row r="92">
      <c r="A92" s="4" t="inlineStr">
        <is>
          <t>OPP-2015</t>
        </is>
      </c>
      <c r="B92" s="4" t="inlineStr">
        <is>
          <t>Wrenfield Foods</t>
        </is>
      </c>
      <c r="C92" s="4" t="inlineStr">
        <is>
          <t>Priya Shah</t>
        </is>
      </c>
      <c r="D92" s="4" t="inlineStr">
        <is>
          <t>Closed Won</t>
        </is>
      </c>
      <c r="E92" s="4" t="inlineStr">
        <is>
          <t>New Business</t>
        </is>
      </c>
      <c r="F92" s="13" t="n">
        <v>46369</v>
      </c>
      <c r="G92" s="4" t="n">
        <v>13500</v>
      </c>
      <c r="H92" s="4" t="inlineStr">
        <is>
          <t>USD</t>
        </is>
      </c>
      <c r="I92" s="4" t="n">
        <v>15</v>
      </c>
      <c r="J92" s="4" t="n"/>
      <c r="K92" s="4" t="inlineStr">
        <is>
          <t>No</t>
        </is>
      </c>
      <c r="L92" s="4" t="n"/>
      <c r="M92" s="4" t="n"/>
      <c r="N92" s="4" t="n"/>
      <c r="O92" s="14">
        <f>IF(AND(D92="Closed Won",F92&gt;=Inputs!$B$1,F92&lt;=Inputs!$B$2),G92*(1-N(M92)/100),0)</f>
        <v/>
      </c>
      <c r="P92" s="14">
        <f>IF(AND(D92="Closed Won",F92&gt;=Inputs!$B$1,F92&lt;=Inputs!$B$2),G92*N(M92)/100,0)</f>
        <v/>
      </c>
      <c r="Q92" s="13">
        <f>IF(H92="USD","",_xlfn.MAXIFS(FX!$A$2:$A$100,FX!$B$2:$B$100,H92,FX!$A$2:$A$100,"&lt;="&amp;F92))</f>
        <v/>
      </c>
      <c r="R92" s="15">
        <f>IF(H92="USD",1,SUMIFS(FX!$C$2:$C$100,FX!$A$2:$A$100,Q92,FX!$B$2:$B$100,H92))</f>
        <v/>
      </c>
      <c r="S92" s="14">
        <f>COUNTIF($A$2:A92,A92)=1</f>
        <v/>
      </c>
      <c r="T92" s="14">
        <f>IF(E92="Renewal",Inputs!$B$6,1)</f>
        <v/>
      </c>
      <c r="U92" s="14">
        <f>OR(N(I92)&lt;=Inputs!$B$9,J92&lt;&gt;"")</f>
        <v/>
      </c>
      <c r="V92" s="14">
        <f>IF(L92="",100,IF(N92="",100-M92,N92))</f>
        <v/>
      </c>
      <c r="W92" s="14">
        <f>V92+N(M92)=100</f>
        <v/>
      </c>
      <c r="X92" s="14">
        <f>AND(D92="Closed Won",F92&gt;=Inputs!$B$1,F92&lt;=Inputs!$B$2,S92,U92,W92)</f>
        <v/>
      </c>
      <c r="Y92" s="14">
        <f>IF(X92,G92*R92*T92,0)</f>
        <v/>
      </c>
      <c r="Z92" s="14">
        <f>Y92*V92/100</f>
        <v/>
      </c>
      <c r="AA92" s="14">
        <f>Y92*N(M92)/100</f>
        <v/>
      </c>
      <c r="AB92" s="14">
        <f>IF(AND(X92,K92="Yes",MONTH(F92)=11,Y92&gt;Inputs!$B$8),Inputs!$B$7,0)</f>
        <v/>
      </c>
    </row>
    <row r="93">
      <c r="A93" s="4" t="inlineStr">
        <is>
          <t>OPP-2058</t>
        </is>
      </c>
      <c r="B93" s="4" t="inlineStr">
        <is>
          <t>Calder Health</t>
        </is>
      </c>
      <c r="C93" s="4" t="inlineStr">
        <is>
          <t>Dan Ortiz</t>
        </is>
      </c>
      <c r="D93" s="4" t="inlineStr">
        <is>
          <t>Closed Won</t>
        </is>
      </c>
      <c r="E93" s="4" t="inlineStr">
        <is>
          <t>Expansion</t>
        </is>
      </c>
      <c r="F93" s="13" t="n">
        <v>46296</v>
      </c>
      <c r="G93" s="4" t="n">
        <v>35500</v>
      </c>
      <c r="H93" s="4" t="inlineStr">
        <is>
          <t>USD</t>
        </is>
      </c>
      <c r="I93" s="4" t="n">
        <v>10</v>
      </c>
      <c r="J93" s="4" t="n"/>
      <c r="K93" s="4" t="inlineStr">
        <is>
          <t>No</t>
        </is>
      </c>
      <c r="L93" s="4" t="n"/>
      <c r="M93" s="4" t="n"/>
      <c r="N93" s="4" t="n"/>
      <c r="O93" s="14">
        <f>IF(AND(D93="Closed Won",F93&gt;=Inputs!$B$1,F93&lt;=Inputs!$B$2),G93*(1-N(M93)/100),0)</f>
        <v/>
      </c>
      <c r="P93" s="14">
        <f>IF(AND(D93="Closed Won",F93&gt;=Inputs!$B$1,F93&lt;=Inputs!$B$2),G93*N(M93)/100,0)</f>
        <v/>
      </c>
      <c r="Q93" s="13">
        <f>IF(H93="USD","",_xlfn.MAXIFS(FX!$A$2:$A$100,FX!$B$2:$B$100,H93,FX!$A$2:$A$100,"&lt;="&amp;F93))</f>
        <v/>
      </c>
      <c r="R93" s="15">
        <f>IF(H93="USD",1,SUMIFS(FX!$C$2:$C$100,FX!$A$2:$A$100,Q93,FX!$B$2:$B$100,H93))</f>
        <v/>
      </c>
      <c r="S93" s="14">
        <f>COUNTIF($A$2:A93,A93)=1</f>
        <v/>
      </c>
      <c r="T93" s="14">
        <f>IF(E93="Renewal",Inputs!$B$6,1)</f>
        <v/>
      </c>
      <c r="U93" s="14">
        <f>OR(N(I93)&lt;=Inputs!$B$9,J93&lt;&gt;"")</f>
        <v/>
      </c>
      <c r="V93" s="14">
        <f>IF(L93="",100,IF(N93="",100-M93,N93))</f>
        <v/>
      </c>
      <c r="W93" s="14">
        <f>V93+N(M93)=100</f>
        <v/>
      </c>
      <c r="X93" s="14">
        <f>AND(D93="Closed Won",F93&gt;=Inputs!$B$1,F93&lt;=Inputs!$B$2,S93,U93,W93)</f>
        <v/>
      </c>
      <c r="Y93" s="14">
        <f>IF(X93,G93*R93*T93,0)</f>
        <v/>
      </c>
      <c r="Z93" s="14">
        <f>Y93*V93/100</f>
        <v/>
      </c>
      <c r="AA93" s="14">
        <f>Y93*N(M93)/100</f>
        <v/>
      </c>
      <c r="AB93" s="14">
        <f>IF(AND(X93,K93="Yes",MONTH(F93)=11,Y93&gt;Inputs!$B$8),Inputs!$B$7,0)</f>
        <v/>
      </c>
    </row>
    <row r="94">
      <c r="A94" s="4" t="inlineStr">
        <is>
          <t>OPP-2056</t>
        </is>
      </c>
      <c r="B94" s="4" t="inlineStr">
        <is>
          <t>Gantry Retail</t>
        </is>
      </c>
      <c r="C94" s="4" t="inlineStr">
        <is>
          <t>Dan Ortiz</t>
        </is>
      </c>
      <c r="D94" s="4" t="inlineStr">
        <is>
          <t>Closed Won</t>
        </is>
      </c>
      <c r="E94" s="4" t="inlineStr">
        <is>
          <t>New Business</t>
        </is>
      </c>
      <c r="F94" s="13" t="n">
        <v>46296</v>
      </c>
      <c r="G94" s="4" t="n">
        <v>35000</v>
      </c>
      <c r="H94" s="4" t="inlineStr">
        <is>
          <t>USD</t>
        </is>
      </c>
      <c r="I94" s="4" t="n">
        <v>5</v>
      </c>
      <c r="J94" s="4" t="n"/>
      <c r="K94" s="4" t="inlineStr">
        <is>
          <t>No</t>
        </is>
      </c>
      <c r="L94" s="4" t="n"/>
      <c r="M94" s="4" t="n"/>
      <c r="N94" s="4" t="n"/>
      <c r="O94" s="14">
        <f>IF(AND(D94="Closed Won",F94&gt;=Inputs!$B$1,F94&lt;=Inputs!$B$2),G94*(1-N(M94)/100),0)</f>
        <v/>
      </c>
      <c r="P94" s="14">
        <f>IF(AND(D94="Closed Won",F94&gt;=Inputs!$B$1,F94&lt;=Inputs!$B$2),G94*N(M94)/100,0)</f>
        <v/>
      </c>
      <c r="Q94" s="13">
        <f>IF(H94="USD","",_xlfn.MAXIFS(FX!$A$2:$A$100,FX!$B$2:$B$100,H94,FX!$A$2:$A$100,"&lt;="&amp;F94))</f>
        <v/>
      </c>
      <c r="R94" s="15">
        <f>IF(H94="USD",1,SUMIFS(FX!$C$2:$C$100,FX!$A$2:$A$100,Q94,FX!$B$2:$B$100,H94))</f>
        <v/>
      </c>
      <c r="S94" s="14">
        <f>COUNTIF($A$2:A94,A94)=1</f>
        <v/>
      </c>
      <c r="T94" s="14">
        <f>IF(E94="Renewal",Inputs!$B$6,1)</f>
        <v/>
      </c>
      <c r="U94" s="14">
        <f>OR(N(I94)&lt;=Inputs!$B$9,J94&lt;&gt;"")</f>
        <v/>
      </c>
      <c r="V94" s="14">
        <f>IF(L94="",100,IF(N94="",100-M94,N94))</f>
        <v/>
      </c>
      <c r="W94" s="14">
        <f>V94+N(M94)=100</f>
        <v/>
      </c>
      <c r="X94" s="14">
        <f>AND(D94="Closed Won",F94&gt;=Inputs!$B$1,F94&lt;=Inputs!$B$2,S94,U94,W94)</f>
        <v/>
      </c>
      <c r="Y94" s="14">
        <f>IF(X94,G94*R94*T94,0)</f>
        <v/>
      </c>
      <c r="Z94" s="14">
        <f>Y94*V94/100</f>
        <v/>
      </c>
      <c r="AA94" s="14">
        <f>Y94*N(M94)/100</f>
        <v/>
      </c>
      <c r="AB94" s="14">
        <f>IF(AND(X94,K94="Yes",MONTH(F94)=11,Y94&gt;Inputs!$B$8),Inputs!$B$7,0)</f>
        <v/>
      </c>
    </row>
    <row r="95">
      <c r="A95" s="4" t="inlineStr">
        <is>
          <t>OPP-2032</t>
        </is>
      </c>
      <c r="B95" s="4" t="inlineStr">
        <is>
          <t>Dunmore Foods</t>
        </is>
      </c>
      <c r="C95" s="4" t="inlineStr">
        <is>
          <t>Sarah Chen</t>
        </is>
      </c>
      <c r="D95" s="4" t="inlineStr">
        <is>
          <t>Closed Won</t>
        </is>
      </c>
      <c r="E95" s="4" t="inlineStr">
        <is>
          <t>New Business</t>
        </is>
      </c>
      <c r="F95" s="13" t="n">
        <v>46327</v>
      </c>
      <c r="G95" s="4" t="n">
        <v>10500</v>
      </c>
      <c r="H95" s="4" t="inlineStr">
        <is>
          <t>USD</t>
        </is>
      </c>
      <c r="I95" s="4" t="n">
        <v>5</v>
      </c>
      <c r="J95" s="4" t="n"/>
      <c r="K95" s="4" t="inlineStr">
        <is>
          <t>No</t>
        </is>
      </c>
      <c r="L95" s="4" t="n"/>
      <c r="M95" s="4" t="n"/>
      <c r="N95" s="4" t="n"/>
      <c r="O95" s="14">
        <f>IF(AND(D95="Closed Won",F95&gt;=Inputs!$B$1,F95&lt;=Inputs!$B$2),G95*(1-N(M95)/100),0)</f>
        <v/>
      </c>
      <c r="P95" s="14">
        <f>IF(AND(D95="Closed Won",F95&gt;=Inputs!$B$1,F95&lt;=Inputs!$B$2),G95*N(M95)/100,0)</f>
        <v/>
      </c>
      <c r="Q95" s="13">
        <f>IF(H95="USD","",_xlfn.MAXIFS(FX!$A$2:$A$100,FX!$B$2:$B$100,H95,FX!$A$2:$A$100,"&lt;="&amp;F95))</f>
        <v/>
      </c>
      <c r="R95" s="15">
        <f>IF(H95="USD",1,SUMIFS(FX!$C$2:$C$100,FX!$A$2:$A$100,Q95,FX!$B$2:$B$100,H95))</f>
        <v/>
      </c>
      <c r="S95" s="14">
        <f>COUNTIF($A$2:A95,A95)=1</f>
        <v/>
      </c>
      <c r="T95" s="14">
        <f>IF(E95="Renewal",Inputs!$B$6,1)</f>
        <v/>
      </c>
      <c r="U95" s="14">
        <f>OR(N(I95)&lt;=Inputs!$B$9,J95&lt;&gt;"")</f>
        <v/>
      </c>
      <c r="V95" s="14">
        <f>IF(L95="",100,IF(N95="",100-M95,N95))</f>
        <v/>
      </c>
      <c r="W95" s="14">
        <f>V95+N(M95)=100</f>
        <v/>
      </c>
      <c r="X95" s="14">
        <f>AND(D95="Closed Won",F95&gt;=Inputs!$B$1,F95&lt;=Inputs!$B$2,S95,U95,W95)</f>
        <v/>
      </c>
      <c r="Y95" s="14">
        <f>IF(X95,G95*R95*T95,0)</f>
        <v/>
      </c>
      <c r="Z95" s="14">
        <f>Y95*V95/100</f>
        <v/>
      </c>
      <c r="AA95" s="14">
        <f>Y95*N(M95)/100</f>
        <v/>
      </c>
      <c r="AB95" s="14">
        <f>IF(AND(X95,K95="Yes",MONTH(F95)=11,Y95&gt;Inputs!$B$8),Inputs!$B$7,0)</f>
        <v/>
      </c>
    </row>
    <row r="96">
      <c r="A96" s="4" t="inlineStr">
        <is>
          <t>OPP-2067</t>
        </is>
      </c>
      <c r="B96" s="4" t="inlineStr">
        <is>
          <t>Juniper Health</t>
        </is>
      </c>
      <c r="C96" s="4" t="inlineStr">
        <is>
          <t>Dan Ortiz</t>
        </is>
      </c>
      <c r="D96" s="4" t="inlineStr">
        <is>
          <t>Closed Won</t>
        </is>
      </c>
      <c r="E96" s="4" t="inlineStr">
        <is>
          <t>New Business</t>
        </is>
      </c>
      <c r="F96" s="13" t="n">
        <v>46331</v>
      </c>
      <c r="G96" s="4" t="n">
        <v>38000</v>
      </c>
      <c r="H96" s="4" t="inlineStr">
        <is>
          <t>USD</t>
        </is>
      </c>
      <c r="I96" s="4" t="n">
        <v>22</v>
      </c>
      <c r="J96" s="4" t="inlineStr">
        <is>
          <t>Tom Alvarez</t>
        </is>
      </c>
      <c r="K96" s="4" t="inlineStr">
        <is>
          <t>No</t>
        </is>
      </c>
      <c r="L96" s="4" t="n"/>
      <c r="M96" s="4" t="n"/>
      <c r="N96" s="4" t="n"/>
      <c r="O96" s="14">
        <f>IF(AND(D96="Closed Won",F96&gt;=Inputs!$B$1,F96&lt;=Inputs!$B$2),G96*(1-N(M96)/100),0)</f>
        <v/>
      </c>
      <c r="P96" s="14">
        <f>IF(AND(D96="Closed Won",F96&gt;=Inputs!$B$1,F96&lt;=Inputs!$B$2),G96*N(M96)/100,0)</f>
        <v/>
      </c>
      <c r="Q96" s="13">
        <f>IF(H96="USD","",_xlfn.MAXIFS(FX!$A$2:$A$100,FX!$B$2:$B$100,H96,FX!$A$2:$A$100,"&lt;="&amp;F96))</f>
        <v/>
      </c>
      <c r="R96" s="15">
        <f>IF(H96="USD",1,SUMIFS(FX!$C$2:$C$100,FX!$A$2:$A$100,Q96,FX!$B$2:$B$100,H96))</f>
        <v/>
      </c>
      <c r="S96" s="14">
        <f>COUNTIF($A$2:A96,A96)=1</f>
        <v/>
      </c>
      <c r="T96" s="14">
        <f>IF(E96="Renewal",Inputs!$B$6,1)</f>
        <v/>
      </c>
      <c r="U96" s="14">
        <f>OR(N(I96)&lt;=Inputs!$B$9,J96&lt;&gt;"")</f>
        <v/>
      </c>
      <c r="V96" s="14">
        <f>IF(L96="",100,IF(N96="",100-M96,N96))</f>
        <v/>
      </c>
      <c r="W96" s="14">
        <f>V96+N(M96)=100</f>
        <v/>
      </c>
      <c r="X96" s="14">
        <f>AND(D96="Closed Won",F96&gt;=Inputs!$B$1,F96&lt;=Inputs!$B$2,S96,U96,W96)</f>
        <v/>
      </c>
      <c r="Y96" s="14">
        <f>IF(X96,G96*R96*T96,0)</f>
        <v/>
      </c>
      <c r="Z96" s="14">
        <f>Y96*V96/100</f>
        <v/>
      </c>
      <c r="AA96" s="14">
        <f>Y96*N(M96)/100</f>
        <v/>
      </c>
      <c r="AB96" s="14">
        <f>IF(AND(X96,K96="Yes",MONTH(F96)=11,Y96&gt;Inputs!$B$8),Inputs!$B$7,0)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week_of</t>
        </is>
      </c>
      <c r="B1" s="3" t="inlineStr">
        <is>
          <t>currency</t>
        </is>
      </c>
      <c r="C1" s="3" t="inlineStr">
        <is>
          <t>usd_per_unit</t>
        </is>
      </c>
    </row>
    <row r="2">
      <c r="A2" s="16" t="n">
        <v>46293</v>
      </c>
      <c r="B2" t="inlineStr">
        <is>
          <t>EUR</t>
        </is>
      </c>
      <c r="C2" t="n">
        <v>1.072</v>
      </c>
    </row>
    <row r="3">
      <c r="A3" s="16" t="n">
        <v>46293</v>
      </c>
      <c r="B3" t="inlineStr">
        <is>
          <t>GBP</t>
        </is>
      </c>
      <c r="C3" t="n">
        <v>1.26</v>
      </c>
    </row>
    <row r="4">
      <c r="A4" s="16" t="n">
        <v>46300</v>
      </c>
      <c r="B4" t="inlineStr">
        <is>
          <t>EUR</t>
        </is>
      </c>
      <c r="C4" t="n">
        <v>1.08</v>
      </c>
    </row>
    <row r="5">
      <c r="A5" s="16" t="n">
        <v>46300</v>
      </c>
      <c r="B5" t="inlineStr">
        <is>
          <t>GBP</t>
        </is>
      </c>
      <c r="C5" t="n">
        <v>1.275</v>
      </c>
    </row>
    <row r="6">
      <c r="A6" s="16" t="n">
        <v>46307</v>
      </c>
      <c r="B6" t="inlineStr">
        <is>
          <t>EUR</t>
        </is>
      </c>
      <c r="C6" t="n">
        <v>1.088</v>
      </c>
    </row>
    <row r="7">
      <c r="A7" s="16" t="n">
        <v>46307</v>
      </c>
      <c r="B7" t="inlineStr">
        <is>
          <t>GBP</t>
        </is>
      </c>
      <c r="C7" t="n">
        <v>1.265</v>
      </c>
    </row>
    <row r="8">
      <c r="A8" s="16" t="n">
        <v>46314</v>
      </c>
      <c r="B8" t="inlineStr">
        <is>
          <t>EUR</t>
        </is>
      </c>
      <c r="C8" t="n">
        <v>1.076</v>
      </c>
    </row>
    <row r="9">
      <c r="A9" s="16" t="n">
        <v>46314</v>
      </c>
      <c r="B9" t="inlineStr">
        <is>
          <t>GBP</t>
        </is>
      </c>
      <c r="C9" t="n">
        <v>1.28</v>
      </c>
    </row>
    <row r="10">
      <c r="A10" s="16" t="n">
        <v>46321</v>
      </c>
      <c r="B10" t="inlineStr">
        <is>
          <t>EUR</t>
        </is>
      </c>
      <c r="C10" t="n">
        <v>1.084</v>
      </c>
    </row>
    <row r="11">
      <c r="A11" s="16" t="n">
        <v>46321</v>
      </c>
      <c r="B11" t="inlineStr">
        <is>
          <t>GBP</t>
        </is>
      </c>
      <c r="C11" t="n">
        <v>1.27</v>
      </c>
    </row>
    <row r="12">
      <c r="A12" s="16" t="n">
        <v>46328</v>
      </c>
      <c r="B12" t="inlineStr">
        <is>
          <t>EUR</t>
        </is>
      </c>
      <c r="C12" t="n">
        <v>1.072</v>
      </c>
    </row>
    <row r="13">
      <c r="A13" s="16" t="n">
        <v>46328</v>
      </c>
      <c r="B13" t="inlineStr">
        <is>
          <t>GBP</t>
        </is>
      </c>
      <c r="C13" t="n">
        <v>1.26</v>
      </c>
    </row>
    <row r="14">
      <c r="A14" s="16" t="n">
        <v>46335</v>
      </c>
      <c r="B14" t="inlineStr">
        <is>
          <t>EUR</t>
        </is>
      </c>
      <c r="C14" t="n">
        <v>1.08</v>
      </c>
    </row>
    <row r="15">
      <c r="A15" s="16" t="n">
        <v>46335</v>
      </c>
      <c r="B15" t="inlineStr">
        <is>
          <t>GBP</t>
        </is>
      </c>
      <c r="C15" t="n">
        <v>1.275</v>
      </c>
    </row>
    <row r="16">
      <c r="A16" s="16" t="n">
        <v>46342</v>
      </c>
      <c r="B16" t="inlineStr">
        <is>
          <t>EUR</t>
        </is>
      </c>
      <c r="C16" t="n">
        <v>1.088</v>
      </c>
    </row>
    <row r="17">
      <c r="A17" s="16" t="n">
        <v>46342</v>
      </c>
      <c r="B17" t="inlineStr">
        <is>
          <t>GBP</t>
        </is>
      </c>
      <c r="C17" t="n">
        <v>1.265</v>
      </c>
    </row>
    <row r="18">
      <c r="A18" s="16" t="n">
        <v>46349</v>
      </c>
      <c r="B18" t="inlineStr">
        <is>
          <t>EUR</t>
        </is>
      </c>
      <c r="C18" t="n">
        <v>1.076</v>
      </c>
    </row>
    <row r="19">
      <c r="A19" s="16" t="n">
        <v>46349</v>
      </c>
      <c r="B19" t="inlineStr">
        <is>
          <t>GBP</t>
        </is>
      </c>
      <c r="C19" t="n">
        <v>1.28</v>
      </c>
    </row>
    <row r="20">
      <c r="A20" s="16" t="n">
        <v>46356</v>
      </c>
      <c r="B20" t="inlineStr">
        <is>
          <t>EUR</t>
        </is>
      </c>
      <c r="C20" t="n">
        <v>1.084</v>
      </c>
    </row>
    <row r="21">
      <c r="A21" s="16" t="n">
        <v>46356</v>
      </c>
      <c r="B21" t="inlineStr">
        <is>
          <t>GBP</t>
        </is>
      </c>
      <c r="C21" t="n">
        <v>1.27</v>
      </c>
    </row>
    <row r="22">
      <c r="A22" s="16" t="n">
        <v>46363</v>
      </c>
      <c r="B22" t="inlineStr">
        <is>
          <t>EUR</t>
        </is>
      </c>
      <c r="C22" t="n">
        <v>1.072</v>
      </c>
    </row>
    <row r="23">
      <c r="A23" s="16" t="n">
        <v>46363</v>
      </c>
      <c r="B23" t="inlineStr">
        <is>
          <t>GBP</t>
        </is>
      </c>
      <c r="C23" t="n">
        <v>1.26</v>
      </c>
    </row>
    <row r="24">
      <c r="A24" s="16" t="n">
        <v>46370</v>
      </c>
      <c r="B24" t="inlineStr">
        <is>
          <t>EUR</t>
        </is>
      </c>
      <c r="C24" t="n">
        <v>1.08</v>
      </c>
    </row>
    <row r="25">
      <c r="A25" s="16" t="n">
        <v>46370</v>
      </c>
      <c r="B25" t="inlineStr">
        <is>
          <t>GBP</t>
        </is>
      </c>
      <c r="C25" t="n">
        <v>1.275</v>
      </c>
    </row>
    <row r="26">
      <c r="A26" s="16" t="n">
        <v>46377</v>
      </c>
      <c r="B26" t="inlineStr">
        <is>
          <t>EUR</t>
        </is>
      </c>
      <c r="C26" t="n">
        <v>1.088</v>
      </c>
    </row>
    <row r="27">
      <c r="A27" s="16" t="n">
        <v>46377</v>
      </c>
      <c r="B27" t="inlineStr">
        <is>
          <t>GBP</t>
        </is>
      </c>
      <c r="C27" t="n">
        <v>1.265</v>
      </c>
    </row>
    <row r="28">
      <c r="A28" s="16" t="n">
        <v>46384</v>
      </c>
      <c r="B28" t="inlineStr">
        <is>
          <t>EUR</t>
        </is>
      </c>
      <c r="C28" t="n">
        <v>1.076</v>
      </c>
    </row>
    <row r="29">
      <c r="A29" s="16" t="n">
        <v>46384</v>
      </c>
      <c r="B29" t="inlineStr">
        <is>
          <t>GBP</t>
        </is>
      </c>
      <c r="C29" t="n">
        <v>1.28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2" t="inlineStr">
        <is>
          <t>rep</t>
        </is>
      </c>
      <c r="B1" s="12" t="inlineStr">
        <is>
          <t>start_date</t>
        </is>
      </c>
      <c r="C1" s="12" t="inlineStr">
        <is>
          <t>end_date</t>
        </is>
      </c>
      <c r="D1" s="12" t="inlineStr">
        <is>
          <t>Full months in quarter</t>
        </is>
      </c>
      <c r="E1" s="12" t="inlineStr">
        <is>
          <t>Quota</t>
        </is>
      </c>
      <c r="F1" s="12" t="inlineStr">
        <is>
          <t>Target incentive</t>
        </is>
      </c>
      <c r="G1" s="12" t="inlineStr">
        <is>
          <t>Employed on payment date?</t>
        </is>
      </c>
    </row>
    <row r="2">
      <c r="A2" t="inlineStr">
        <is>
          <t>Priya Shah</t>
        </is>
      </c>
      <c r="B2" s="16" t="n">
        <v>44963</v>
      </c>
      <c r="D2">
        <f>IF(B2&lt;=Inputs!$B$1,3,(B2&lt;=DATE(2026,11,1))+(B2&lt;=DATE(2026,12,1)))</f>
        <v/>
      </c>
      <c r="E2" s="17">
        <f>Inputs!$B$3*D2/3</f>
        <v/>
      </c>
      <c r="F2" s="18">
        <f>Inputs!$B$4*D2/3</f>
        <v/>
      </c>
      <c r="G2">
        <f>OR(C2="",C2&gt;=Inputs!$B$5)</f>
        <v/>
      </c>
    </row>
    <row r="3">
      <c r="A3" t="inlineStr">
        <is>
          <t>Tyler Brooks</t>
        </is>
      </c>
      <c r="B3" s="16" t="n">
        <v>45425</v>
      </c>
      <c r="C3" s="16" t="n">
        <v>46361</v>
      </c>
      <c r="D3">
        <f>IF(B3&lt;=Inputs!$B$1,3,(B3&lt;=DATE(2026,11,1))+(B3&lt;=DATE(2026,12,1)))</f>
        <v/>
      </c>
      <c r="E3" s="17">
        <f>Inputs!$B$3*D3/3</f>
        <v/>
      </c>
      <c r="F3" s="18">
        <f>Inputs!$B$4*D3/3</f>
        <v/>
      </c>
      <c r="G3">
        <f>OR(C3="",C3&gt;=Inputs!$B$5)</f>
        <v/>
      </c>
    </row>
    <row r="4">
      <c r="A4" t="inlineStr">
        <is>
          <t>Sarah Chen</t>
        </is>
      </c>
      <c r="B4" s="16" t="n">
        <v>44823</v>
      </c>
      <c r="D4">
        <f>IF(B4&lt;=Inputs!$B$1,3,(B4&lt;=DATE(2026,11,1))+(B4&lt;=DATE(2026,12,1)))</f>
        <v/>
      </c>
      <c r="E4" s="17">
        <f>Inputs!$B$3*D4/3</f>
        <v/>
      </c>
      <c r="F4" s="18">
        <f>Inputs!$B$4*D4/3</f>
        <v/>
      </c>
      <c r="G4">
        <f>OR(C4="",C4&gt;=Inputs!$B$5)</f>
        <v/>
      </c>
    </row>
    <row r="5">
      <c r="A5" t="inlineStr">
        <is>
          <t>Marcus Reed</t>
        </is>
      </c>
      <c r="B5" s="16" t="n">
        <v>44256</v>
      </c>
      <c r="D5">
        <f>IF(B5&lt;=Inputs!$B$1,3,(B5&lt;=DATE(2026,11,1))+(B5&lt;=DATE(2026,12,1)))</f>
        <v/>
      </c>
      <c r="E5" s="17">
        <f>Inputs!$B$3*D5/3</f>
        <v/>
      </c>
      <c r="F5" s="18">
        <f>Inputs!$B$4*D5/3</f>
        <v/>
      </c>
      <c r="G5">
        <f>OR(C5="",C5&gt;=Inputs!$B$5)</f>
        <v/>
      </c>
    </row>
    <row r="6">
      <c r="A6" t="inlineStr">
        <is>
          <t>Dan Ortiz</t>
        </is>
      </c>
      <c r="B6" s="16" t="n">
        <v>45663</v>
      </c>
      <c r="D6">
        <f>IF(B6&lt;=Inputs!$B$1,3,(B6&lt;=DATE(2026,11,1))+(B6&lt;=DATE(2026,12,1)))</f>
        <v/>
      </c>
      <c r="E6" s="17">
        <f>Inputs!$B$3*D6/3</f>
        <v/>
      </c>
      <c r="F6" s="18">
        <f>Inputs!$B$4*D6/3</f>
        <v/>
      </c>
      <c r="G6">
        <f>OR(C6="",C6&gt;=Inputs!$B$5)</f>
        <v/>
      </c>
    </row>
    <row r="7">
      <c r="A7" t="inlineStr">
        <is>
          <t>Ana Lima</t>
        </is>
      </c>
      <c r="B7" s="16" t="n">
        <v>46310</v>
      </c>
      <c r="D7">
        <f>IF(B7&lt;=Inputs!$B$1,3,(B7&lt;=DATE(2026,11,1))+(B7&lt;=DATE(2026,12,1)))</f>
        <v/>
      </c>
      <c r="E7" s="17">
        <f>Inputs!$B$3*D7/3</f>
        <v/>
      </c>
      <c r="F7" s="18">
        <f>Inputs!$B$4*D7/3</f>
        <v/>
      </c>
      <c r="G7">
        <f>OR(C7="",C7&gt;=Inputs!$B$5)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2026-10-19T19:59:47Z</dcterms:created>
  <dcterms:modified xmlns:dcterms="http://purl.org/dc/terms/" xmlns:xsi="http://www.w3.org/2001/XMLSchema-instance" xsi:type="dcterms:W3CDTF">2026-10-19T19:59:47Z</dcterms:modified>
</cp:coreProperties>
</file>